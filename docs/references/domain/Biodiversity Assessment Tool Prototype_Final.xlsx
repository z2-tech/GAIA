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cugroup-my.sharepoint.com/personal/prrocha_pcugroup_com/Documents/Área de Trabalho/Tool/Biodiversity_Tool/2- Biodiversity index/"/>
    </mc:Choice>
  </mc:AlternateContent>
  <xr:revisionPtr revIDLastSave="0" documentId="8_{205D3069-3895-452A-AFE2-DCD2B0B66306}" xr6:coauthVersionLast="47" xr6:coauthVersionMax="47" xr10:uidLastSave="{00000000-0000-0000-0000-000000000000}"/>
  <bookViews>
    <workbookView xWindow="-108" yWindow="-108" windowWidth="23256" windowHeight="12456" activeTab="4" xr2:uid="{ED186CCA-D66D-4297-BE01-21FCC21EAE03}"/>
  </bookViews>
  <sheets>
    <sheet name="Area de produção" sheetId="1" r:id="rId1"/>
    <sheet name="Pequena area não produtiva" sheetId="2" r:id="rId2"/>
    <sheet name="Grande area não produtiva" sheetId="3" r:id="rId3"/>
    <sheet name="Pontuação" sheetId="5" r:id="rId4"/>
    <sheet name="Resultdo" sheetId="6" r:id="rId5"/>
    <sheet name="Pontuação_referencia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7" i="5" l="1"/>
  <c r="BM14" i="5"/>
  <c r="BG16" i="5"/>
  <c r="CC18" i="5"/>
  <c r="CA18" i="5"/>
  <c r="CA15" i="5"/>
  <c r="CC15" i="5"/>
  <c r="CE12" i="5"/>
  <c r="CE11" i="5"/>
  <c r="CE15" i="5"/>
  <c r="CG11" i="5"/>
  <c r="CG13" i="5"/>
  <c r="CG15" i="5"/>
  <c r="CI14" i="5"/>
  <c r="CI12" i="5"/>
  <c r="CA6" i="5"/>
  <c r="BK6" i="5"/>
  <c r="AR18" i="5"/>
  <c r="AP15" i="5"/>
  <c r="U12" i="5"/>
  <c r="AA12" i="5"/>
  <c r="AC4" i="5"/>
  <c r="K4" i="5"/>
  <c r="B10" i="4"/>
  <c r="B11" i="4"/>
  <c r="B12" i="4"/>
  <c r="B13" i="4"/>
  <c r="B14" i="4"/>
  <c r="B15" i="4"/>
  <c r="B16" i="4"/>
  <c r="B17" i="4"/>
  <c r="B18" i="4"/>
  <c r="B9" i="4"/>
  <c r="B5" i="4"/>
  <c r="B6" i="4"/>
  <c r="B4" i="4"/>
  <c r="CM6" i="4"/>
  <c r="CK16" i="5"/>
  <c r="CK14" i="5"/>
  <c r="CK13" i="5"/>
  <c r="CK17" i="5"/>
  <c r="CK18" i="5"/>
  <c r="CK15" i="5"/>
  <c r="CK12" i="5"/>
  <c r="CK11" i="5"/>
  <c r="CM18" i="5"/>
  <c r="CM15" i="5"/>
  <c r="CM12" i="5"/>
  <c r="CM11" i="5"/>
  <c r="CM6" i="5" l="1"/>
  <c r="CK6" i="5"/>
  <c r="AE6" i="5"/>
  <c r="CI13" i="5"/>
  <c r="CI15" i="5"/>
  <c r="CI11" i="5"/>
  <c r="CI6" i="5"/>
  <c r="CG18" i="5"/>
  <c r="CG6" i="5"/>
  <c r="CE18" i="5"/>
  <c r="CE6" i="5"/>
  <c r="CC12" i="5"/>
  <c r="CC11" i="5"/>
  <c r="CC6" i="5"/>
  <c r="CA12" i="5"/>
  <c r="BY18" i="5"/>
  <c r="BY15" i="5"/>
  <c r="BY12" i="5"/>
  <c r="BY11" i="5"/>
  <c r="BY6" i="5"/>
  <c r="BW18" i="5"/>
  <c r="BW15" i="5"/>
  <c r="BW12" i="5"/>
  <c r="BW11" i="5"/>
  <c r="BW6" i="5"/>
  <c r="BU18" i="5"/>
  <c r="BU15" i="5"/>
  <c r="BU12" i="5"/>
  <c r="BU11" i="5"/>
  <c r="BU6" i="5"/>
  <c r="BS17" i="5"/>
  <c r="BS14" i="5"/>
  <c r="BQ12" i="5"/>
  <c r="BQ11" i="5"/>
  <c r="BQ10" i="5"/>
  <c r="BQ17" i="5"/>
  <c r="BQ14" i="5"/>
  <c r="BQ6" i="5"/>
  <c r="BO12" i="5"/>
  <c r="BO11" i="5"/>
  <c r="BO17" i="5"/>
  <c r="BO14" i="5"/>
  <c r="BO10" i="5"/>
  <c r="BO6" i="5"/>
  <c r="BM12" i="5"/>
  <c r="BM11" i="5"/>
  <c r="BM10" i="5"/>
  <c r="BM6" i="5"/>
  <c r="BK12" i="5"/>
  <c r="BK16" i="5"/>
  <c r="BG12" i="5"/>
  <c r="BI13" i="5"/>
  <c r="BI11" i="5"/>
  <c r="BI16" i="5"/>
  <c r="BI12" i="5"/>
  <c r="BI6" i="5"/>
  <c r="BG6" i="5"/>
  <c r="BG11" i="5"/>
  <c r="BG13" i="5"/>
  <c r="BE16" i="5"/>
  <c r="BE12" i="5"/>
  <c r="BE11" i="5"/>
  <c r="BE13" i="5"/>
  <c r="BE6" i="5"/>
  <c r="BB17" i="5"/>
  <c r="BB10" i="5"/>
  <c r="BB14" i="5"/>
  <c r="BB11" i="5"/>
  <c r="BB5" i="5"/>
  <c r="AZ10" i="5"/>
  <c r="AZ17" i="5"/>
  <c r="AZ16" i="5"/>
  <c r="AZ14" i="5"/>
  <c r="AZ12" i="5"/>
  <c r="AZ11" i="5"/>
  <c r="AZ5" i="5"/>
  <c r="AX10" i="5"/>
  <c r="AX5" i="5"/>
  <c r="AV14" i="5"/>
  <c r="AV10" i="5"/>
  <c r="AV17" i="5"/>
  <c r="AV5" i="5"/>
  <c r="AT14" i="5"/>
  <c r="AT10" i="5"/>
  <c r="AT17" i="5"/>
  <c r="AT5" i="5"/>
  <c r="AR15" i="5"/>
  <c r="AR12" i="5"/>
  <c r="AR11" i="5"/>
  <c r="AR5" i="5"/>
  <c r="AP12" i="5"/>
  <c r="AP11" i="5"/>
  <c r="AP5" i="5"/>
  <c r="AN18" i="5"/>
  <c r="AN15" i="5"/>
  <c r="AN13" i="5"/>
  <c r="AN9" i="5"/>
  <c r="AN11" i="5"/>
  <c r="AN12" i="5"/>
  <c r="AN5" i="5"/>
  <c r="AL9" i="5"/>
  <c r="AJ12" i="5"/>
  <c r="AJ11" i="5"/>
  <c r="AJ9" i="5"/>
  <c r="AH13" i="5"/>
  <c r="AH12" i="5"/>
  <c r="AH9" i="5"/>
  <c r="AH11" i="5"/>
  <c r="AH5" i="5"/>
  <c r="AF13" i="5"/>
  <c r="AF12" i="5"/>
  <c r="AF11" i="5"/>
  <c r="AF5" i="5"/>
  <c r="AC12" i="5"/>
  <c r="AC9" i="5"/>
  <c r="AA17" i="5"/>
  <c r="AA10" i="5"/>
  <c r="Y9" i="5"/>
  <c r="Y11" i="5"/>
  <c r="Y12" i="5"/>
  <c r="Y4" i="5"/>
  <c r="W12" i="5"/>
  <c r="U11" i="5"/>
  <c r="U10" i="5"/>
  <c r="U9" i="5"/>
  <c r="U4" i="5"/>
  <c r="S9" i="5"/>
  <c r="Q9" i="5"/>
  <c r="O11" i="5"/>
  <c r="M11" i="5"/>
  <c r="M12" i="5"/>
  <c r="M9" i="5"/>
  <c r="M4" i="5"/>
  <c r="K12" i="5"/>
  <c r="K11" i="5"/>
  <c r="I4" i="5"/>
  <c r="I13" i="5"/>
  <c r="I12" i="5"/>
  <c r="I11" i="5"/>
  <c r="I9" i="5"/>
  <c r="G9" i="5"/>
  <c r="E11" i="5"/>
  <c r="E9" i="5"/>
  <c r="B6" i="5" l="1"/>
  <c r="B5" i="5"/>
  <c r="B4" i="5"/>
  <c r="D4" i="5" l="1"/>
  <c r="J9" i="6"/>
  <c r="D5" i="5"/>
  <c r="O9" i="6"/>
  <c r="D6" i="5"/>
  <c r="T9" i="6"/>
  <c r="CO18" i="5"/>
  <c r="BD18" i="5"/>
  <c r="AE18" i="5"/>
  <c r="CO17" i="5"/>
  <c r="BD17" i="5"/>
  <c r="AE17" i="5"/>
  <c r="CO16" i="5"/>
  <c r="BD16" i="5"/>
  <c r="AE16" i="5"/>
  <c r="CO15" i="5"/>
  <c r="BD15" i="5"/>
  <c r="AE15" i="5"/>
  <c r="CO14" i="5"/>
  <c r="BD14" i="5"/>
  <c r="AE14" i="5"/>
  <c r="CO13" i="5"/>
  <c r="BD13" i="5"/>
  <c r="AE13" i="5"/>
  <c r="CO12" i="5"/>
  <c r="BD12" i="5"/>
  <c r="AE12" i="5"/>
  <c r="CO11" i="5"/>
  <c r="BD11" i="5"/>
  <c r="AE11" i="5"/>
  <c r="CO10" i="5"/>
  <c r="BD10" i="5"/>
  <c r="AE10" i="5"/>
  <c r="CO9" i="5"/>
  <c r="BD9" i="5"/>
  <c r="AE9" i="5"/>
  <c r="CO6" i="5"/>
  <c r="BD6" i="5"/>
  <c r="CO5" i="5"/>
  <c r="BD5" i="5"/>
  <c r="AE5" i="5"/>
  <c r="CO4" i="5"/>
  <c r="BD4" i="5"/>
  <c r="AE4" i="5"/>
  <c r="CM5" i="4"/>
  <c r="CM9" i="4"/>
  <c r="CM10" i="4"/>
  <c r="CM11" i="4"/>
  <c r="CM12" i="4"/>
  <c r="CM13" i="4"/>
  <c r="CM14" i="4"/>
  <c r="CM15" i="4"/>
  <c r="CM16" i="4"/>
  <c r="CM17" i="4"/>
  <c r="CM18" i="4"/>
  <c r="CM4" i="4"/>
  <c r="BB5" i="4"/>
  <c r="BB6" i="4"/>
  <c r="BB9" i="4"/>
  <c r="BB10" i="4"/>
  <c r="BB11" i="4"/>
  <c r="BB12" i="4"/>
  <c r="BB13" i="4"/>
  <c r="BB14" i="4"/>
  <c r="BB15" i="4"/>
  <c r="BB16" i="4"/>
  <c r="BB17" i="4"/>
  <c r="BB18" i="4"/>
  <c r="BB4" i="4"/>
  <c r="AC5" i="4"/>
  <c r="AC6" i="4"/>
  <c r="AC9" i="4"/>
  <c r="AC10" i="4"/>
  <c r="AC11" i="4"/>
  <c r="AC12" i="4"/>
  <c r="AC13" i="4"/>
  <c r="AC14" i="4"/>
  <c r="AC15" i="4"/>
  <c r="AC16" i="4"/>
  <c r="AC17" i="4"/>
  <c r="AC18" i="4"/>
  <c r="AC4" i="4"/>
  <c r="B16" i="5" l="1"/>
  <c r="B12" i="5"/>
  <c r="B10" i="5"/>
  <c r="B15" i="5"/>
  <c r="B11" i="5"/>
  <c r="B14" i="5"/>
  <c r="B18" i="5"/>
  <c r="B9" i="5"/>
  <c r="B13" i="5"/>
  <c r="B17" i="5"/>
  <c r="D9" i="5" l="1"/>
  <c r="AB34" i="6"/>
  <c r="D18" i="5"/>
  <c r="D22" i="6"/>
  <c r="D15" i="5"/>
  <c r="J34" i="6"/>
  <c r="D17" i="5"/>
  <c r="D34" i="6"/>
  <c r="D14" i="5"/>
  <c r="P22" i="6"/>
  <c r="D10" i="5"/>
  <c r="AB22" i="6"/>
  <c r="D13" i="5"/>
  <c r="P34" i="6"/>
  <c r="D11" i="5"/>
  <c r="V34" i="6"/>
  <c r="D12" i="5"/>
  <c r="V22" i="6"/>
  <c r="D16" i="5"/>
  <c r="J22" i="6"/>
</calcChain>
</file>

<file path=xl/sharedStrings.xml><?xml version="1.0" encoding="utf-8"?>
<sst xmlns="http://schemas.openxmlformats.org/spreadsheetml/2006/main" count="303" uniqueCount="73">
  <si>
    <t>Você cultiva mais de um tipo ou variedade de cultura?</t>
  </si>
  <si>
    <t>Você cria mais de um tipo ou raça de gado?</t>
  </si>
  <si>
    <t>Você cultiva um pasto misto em seu pasto (como gramíneas mistas, ou gramíneas e trevos, etc.)?</t>
  </si>
  <si>
    <t>Que práticas ecológicas você segue para controlar pragas agrícolas em sua fazenda?</t>
  </si>
  <si>
    <t>Fornecer habitats seminaturais perto das plantações para que insetos benéficos possam ajudar no controle de pragas, como bancos de besouros</t>
  </si>
  <si>
    <t>Use métodos de controle biológico</t>
  </si>
  <si>
    <t>Praticar controles culturais, como controle mecânico/físico de ervas daninhas e prevenção de doenças nas culturas (como selecionar variedades de culturas resistentes, planejar rotações, evitar deixar resíduos de culturas nos quais doenças ou pragas possam se desenvolver)</t>
  </si>
  <si>
    <t>Os pesticidas (incluindo herbicidas) são usados ​​apenas quando e onde são necessários, conforme determinado pelo monitoramento de pragas ou danos às plantações e se recomendado por um agrônomo ou consultor de culturas.</t>
  </si>
  <si>
    <t>São utilizados apenas pesticidas seletivos direcionados à praga ou erva daninha específica e que sejam compatíveis com o controle biológico</t>
  </si>
  <si>
    <t>Que práticas você usa para melhorar a saúde do solo nas áreas de produção da sua fazenda?</t>
  </si>
  <si>
    <t>Minimize o solo descoberto, plantando culturas de cobertura em campos aráveis, mantendo a cobertura do solo em pomares e vinhedos ou mantendo a cobertura vegetal em pastagens.</t>
  </si>
  <si>
    <t>Utilizar predominantemente o cultivo superficial ou plantio direto como principal método de cultivo</t>
  </si>
  <si>
    <t>Manter ou aumentar a matéria orgânica do solo, por exemplo, deixando palha ou resíduos de colheitas, cultivando adubos verdes ou adicionando composto ou cobertura morta orgânica.</t>
  </si>
  <si>
    <t>Adicionar as quantidades e os tipos certos de fertilizantes (incluindo insumos orgânicos) e apenas em resposta a uma demanda por nutrientes (como aquela indicada por testes de plantas ou solo, ou avaliação das necessidades do pasto) e em momentos e frequências apropriados para minimizar a lixiviação e o escoamento.</t>
  </si>
  <si>
    <t>Minimize a compactação e a compactação do solo, gerenciando cuidadosamente as máquinas e o gado</t>
  </si>
  <si>
    <t>Você tem alguma pequena área de habitat natural ou seminatural adjacente à área de produção em sua fazenda?</t>
  </si>
  <si>
    <t>As margens ou cantos do campo ou do pasto são deixados de fora da produção, com plantas que ocorrem naturalmente</t>
  </si>
  <si>
    <t>Áreas não produtivas, como limites de pastagens, têm ou são plantadas com plantas e árvores floridas para fornecer néctar, frutas ou outros alimentos para a vida selvagem, como polinizadores e pássaros.</t>
  </si>
  <si>
    <t>Você tem alguma vegetação lenhosa em sua fazenda?</t>
  </si>
  <si>
    <t>Cintos de proteção</t>
  </si>
  <si>
    <t>Árvores solitárias ou bem espaçadas em ou adjacentes a terras de produção</t>
  </si>
  <si>
    <t>Pequenos fragmentos de mata nativa (&lt;2 ha por fragmento) ou plantações de árvores não nativas</t>
  </si>
  <si>
    <t>Que práticas favoráveis ​​à natureza você usa para gerenciar áreas de vegetação lenhosa?</t>
  </si>
  <si>
    <t>Gerir as faixas de proteção para promover a biodiversidade, evitando, por exemplo, a pulverização ou a poda com pouca frequência.</t>
  </si>
  <si>
    <t>Manter uma mistura de espécies em zonas de proteção ou em pequenas florestas, incluindo plantas lenhosas nativas</t>
  </si>
  <si>
    <t>Você tem algum curso de água em sua fazenda, incluindo rios, córregos e lagoas?</t>
  </si>
  <si>
    <t>Que práticas favoráveis ​​à natureza você utiliza ao longo dos cursos d'água?</t>
  </si>
  <si>
    <t>Promover um regime hidrológico natural, como permitir inundações ou manter níveis de água suficientes para a vida selvagem</t>
  </si>
  <si>
    <t>Ter bueiros ou pontes sobre riachos que permitam a passagem de peixes</t>
  </si>
  <si>
    <t>Fornecer zonas de proteção arborizadas ou relvadas entre as áreas de produção e os cursos de água, incluindo vedações que excluam o gado da faixa de proteção.</t>
  </si>
  <si>
    <t>Use barreiras para evitar que poluentes entrem nos cursos de água, como armadilhas de sedimentos ou pântanos construídos</t>
  </si>
  <si>
    <t>Você tem uma grande área (&gt; 2 ha) de pastagem natural ou matagal em sua fazenda?</t>
  </si>
  <si>
    <t>Que práticas de manejo favoráveis ​​à natureza você realiza em sua pastagem ou matagal natural?</t>
  </si>
  <si>
    <t>Formalmente protegido, como em um pacto QEII</t>
  </si>
  <si>
    <t>Excluir gado por meio de cercas</t>
  </si>
  <si>
    <t>Controle plantas daninhas não nativas, por meio de pulverização, pastoreio ou métodos mecânicos</t>
  </si>
  <si>
    <t>Você tem uma área úmida natural grande (&gt;1 ha) em sua fazenda?</t>
  </si>
  <si>
    <t>Que práticas de gestão favoráveis ​​à natureza você realiza em sua área úmida natural?</t>
  </si>
  <si>
    <t>Você tem uma grande área (&gt;2 ha) de floresta nativa ou arbusto denso em sua fazenda?</t>
  </si>
  <si>
    <t>Que práticas de manejo favoráveis ​​à natureza você realiza em seu bosque nativo?</t>
  </si>
  <si>
    <t>Gerir as bordas dos arbustos para beneficiar a vida selvagem, como por exemplo, criar uma zona de transição ou zona de amortecimento arbustivo entre as áreas de produção e as florestas mais altas.</t>
  </si>
  <si>
    <t>Manter uma mistura de espécies lenhosas nativas</t>
  </si>
  <si>
    <t>Você controla alguma praga animal em sua fazenda, especialmente em habitats naturais?</t>
  </si>
  <si>
    <t>Gambás</t>
  </si>
  <si>
    <t>Arminhos, ratos, ouriços ou outros predadores</t>
  </si>
  <si>
    <t>Veados, cabras, porcos ou outros animais que alteram o habitat</t>
  </si>
  <si>
    <t>Ratos ou outros animais que competem com a vida selvagem por comida e locais de nidificação</t>
  </si>
  <si>
    <t>GRUPO DE BIODIVERSIDADE EM TODA A FAZENDA</t>
  </si>
  <si>
    <t>BIODIVERSIDADE GERAL NA ÁREA DE GESTÃO</t>
  </si>
  <si>
    <t>ÁREAS DE PRODUÇÃO</t>
  </si>
  <si>
    <t>PEQUENA NÃO PRODUÇÃO</t>
  </si>
  <si>
    <t>GRANDE NÃO PRODUÇÃO</t>
  </si>
  <si>
    <t>PECUÁRIA E CULTURA</t>
  </si>
  <si>
    <t>FAUNA AQUÁTICA NATIVA</t>
  </si>
  <si>
    <t>INSETOS BENÉFICOS</t>
  </si>
  <si>
    <t>VIDA NO SOLO</t>
  </si>
  <si>
    <t>AVES ABERTAS NATIVAS</t>
  </si>
  <si>
    <t>AVES DE ZONAS PÂNTANAS</t>
  </si>
  <si>
    <t>AVE NATIVA DA FLORESTA</t>
  </si>
  <si>
    <t>PLANTAS NATIVAS DE PASTAGENS</t>
  </si>
  <si>
    <t>PLANTAS NATIVAS DE ZONAS ÚMIDAS</t>
  </si>
  <si>
    <t>PLANTAS NATIVAS DE ARBUSTO</t>
  </si>
  <si>
    <t>Pontuação total</t>
  </si>
  <si>
    <t>sim</t>
  </si>
  <si>
    <t>não</t>
  </si>
  <si>
    <t>Areas de produção</t>
  </si>
  <si>
    <t xml:space="preserve">Soma </t>
  </si>
  <si>
    <t>Pequena Area não produtiva</t>
  </si>
  <si>
    <t>Grande area não produtiva</t>
  </si>
  <si>
    <t>Pontuação Total</t>
  </si>
  <si>
    <t>Pontuação Máxima</t>
  </si>
  <si>
    <t>Sim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</si>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</sst>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5" xfId="0" applyFont="1" applyFill="1" applyBorder="1"/>
    <xf numFmtId="0" fontId="2" fillId="7" borderId="7" xfId="0" applyFont="1" applyFill="1" applyBorder="1"/>
    <xf numFmtId="0" fontId="2" fillId="7" borderId="0" xfId="0" applyFont="1" applyFill="1"/>
    <xf numFmtId="0" fontId="2" fillId="7" borderId="8" xfId="0" applyFont="1" applyFill="1" applyBorder="1"/>
    <xf numFmtId="0" fontId="2" fillId="0" borderId="3" xfId="0" applyFont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0" xfId="0" applyFont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5" fillId="3" borderId="14" xfId="0" applyFont="1" applyFill="1" applyBorder="1"/>
    <xf numFmtId="0" fontId="4" fillId="0" borderId="16" xfId="0" applyFont="1" applyBorder="1"/>
    <xf numFmtId="0" fontId="5" fillId="4" borderId="16" xfId="0" applyFont="1" applyFill="1" applyBorder="1"/>
    <xf numFmtId="0" fontId="5" fillId="3" borderId="16" xfId="0" applyFont="1" applyFill="1" applyBorder="1"/>
    <xf numFmtId="0" fontId="4" fillId="4" borderId="16" xfId="0" applyFont="1" applyFill="1" applyBorder="1"/>
    <xf numFmtId="0" fontId="4" fillId="3" borderId="16" xfId="0" applyFont="1" applyFill="1" applyBorder="1"/>
    <xf numFmtId="0" fontId="4" fillId="4" borderId="16" xfId="0" applyFont="1" applyFill="1" applyBorder="1" applyAlignment="1">
      <alignment wrapText="1"/>
    </xf>
    <xf numFmtId="0" fontId="4" fillId="3" borderId="16" xfId="0" applyFont="1" applyFill="1" applyBorder="1" applyAlignment="1">
      <alignment wrapText="1"/>
    </xf>
    <xf numFmtId="0" fontId="4" fillId="0" borderId="21" xfId="0" applyFont="1" applyBorder="1"/>
    <xf numFmtId="0" fontId="0" fillId="0" borderId="21" xfId="0" applyBorder="1"/>
    <xf numFmtId="0" fontId="5" fillId="0" borderId="0" xfId="0" applyFont="1" applyAlignment="1">
      <alignment horizontal="center"/>
    </xf>
    <xf numFmtId="0" fontId="5" fillId="5" borderId="13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7" borderId="0" xfId="0" applyFont="1" applyFill="1"/>
    <xf numFmtId="0" fontId="6" fillId="7" borderId="8" xfId="0" applyFont="1" applyFill="1" applyBorder="1"/>
    <xf numFmtId="9" fontId="8" fillId="0" borderId="0" xfId="1" applyFont="1" applyFill="1" applyAlignment="1">
      <alignment horizontal="center"/>
    </xf>
    <xf numFmtId="0" fontId="8" fillId="0" borderId="0" xfId="0" applyFont="1" applyAlignment="1">
      <alignment horizontal="center"/>
    </xf>
    <xf numFmtId="9" fontId="8" fillId="0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8" fillId="0" borderId="0" xfId="1" applyFont="1" applyFill="1"/>
    <xf numFmtId="9" fontId="8" fillId="0" borderId="0" xfId="1" applyFont="1" applyFill="1" applyAlignment="1">
      <alignment horizontal="left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FAUNA AQUÁTICA NATIVA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B3-462D-96FA-9148E975DD32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B3-462D-96FA-9148E975DD32}"/>
              </c:ext>
            </c:extLst>
          </c:dPt>
          <c:val>
            <c:numRef>
              <c:f>(Pontuação!$B$10,Pontuação!$D$10)</c:f>
              <c:numCache>
                <c:formatCode>General</c:formatCode>
                <c:ptCount val="2"/>
                <c:pt idx="0">
                  <c:v>13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B3-462D-96FA-9148E975D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PECUÁRIA E CULTURA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2-47C3-9FEC-70A1EC3C3EB4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E2-47C3-9FEC-70A1EC3C3EB4}"/>
              </c:ext>
            </c:extLst>
          </c:dPt>
          <c:val>
            <c:numRef>
              <c:f>(Pontuação!$B$9,Pontuação!$D$9)</c:f>
              <c:numCache>
                <c:formatCode>General</c:formatCode>
                <c:ptCount val="2"/>
                <c:pt idx="0">
                  <c:v>7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E2-47C3-9FEC-70A1EC3C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VIDA NO SOLO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BD-4B8F-8DD9-59F397BB6DAD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BD-4B8F-8DD9-59F397BB6DAD}"/>
              </c:ext>
            </c:extLst>
          </c:dPt>
          <c:val>
            <c:numRef>
              <c:f>(Pontuação!$B$12,Pontuação!$D$12)</c:f>
              <c:numCache>
                <c:formatCode>General</c:formatCode>
                <c:ptCount val="2"/>
                <c:pt idx="0">
                  <c:v>29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BD-4B8F-8DD9-59F397BB6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INSETOS BENÉFICOS</a:t>
            </a:r>
            <a:r>
              <a:rPr lang="pt-BR" sz="1400" b="0" i="0" u="none" strike="noStrike" baseline="0">
                <a:effectLst/>
              </a:rPr>
              <a:t> </a:t>
            </a:r>
            <a:r>
              <a:rPr lang="pt-BR" sz="1400" b="1" i="0" u="none" strike="noStrike" baseline="0">
                <a:effectLst/>
              </a:rPr>
              <a:t> E CULTURA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FD-4B32-8008-D4F88213F9A3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FD-4B32-8008-D4F88213F9A3}"/>
              </c:ext>
            </c:extLst>
          </c:dPt>
          <c:val>
            <c:numRef>
              <c:f>(Pontuação!$B$11,Pontuação!$D$11)</c:f>
              <c:numCache>
                <c:formatCode>General</c:formatCode>
                <c:ptCount val="2"/>
                <c:pt idx="0">
                  <c:v>25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FD-4B32-8008-D4F88213F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AVES ABERTAS NATIVAS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2A-4117-BA2C-27DD6B8EE471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2A-4117-BA2C-27DD6B8EE471}"/>
              </c:ext>
            </c:extLst>
          </c:dPt>
          <c:val>
            <c:numRef>
              <c:f>(Pontuação!$B$13,Pontuação!$D$13)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2A-4117-BA2C-27DD6B8EE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AVES DE ZONAS PÂNTANAS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50-4AE9-A147-EB38CF452A84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50-4AE9-A147-EB38CF452A84}"/>
              </c:ext>
            </c:extLst>
          </c:dPt>
          <c:val>
            <c:numRef>
              <c:f>(Pontuação!$B$14,Pontuação!$D$14)</c:f>
              <c:numCache>
                <c:formatCode>General</c:formatCode>
                <c:ptCount val="2"/>
                <c:pt idx="0">
                  <c:v>12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50-4AE9-A147-EB38CF452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PLANTAS NATIVAS DE   PASTAGENS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61-44AF-B45F-9E5B18132808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61-44AF-B45F-9E5B18132808}"/>
              </c:ext>
            </c:extLst>
          </c:dPt>
          <c:val>
            <c:numRef>
              <c:f>(Pontuação!$B$16,Pontuação!$D$16)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61-44AF-B45F-9E5B18132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AVE NATIVA DA FLORESTA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D2-42E5-A2BB-ABD890764CD6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D2-42E5-A2BB-ABD890764CD6}"/>
              </c:ext>
            </c:extLst>
          </c:dPt>
          <c:val>
            <c:numRef>
              <c:f>(Pontuação!$B$15,Pontuação!$D$15)</c:f>
              <c:numCache>
                <c:formatCode>General</c:formatCode>
                <c:ptCount val="2"/>
                <c:pt idx="0">
                  <c:v>15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D2-42E5-A2BB-ABD89076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PLANTAS NATIVAS DE ARBUSTO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47-46DD-817C-043ACFF39726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47-46DD-817C-043ACFF39726}"/>
              </c:ext>
            </c:extLst>
          </c:dPt>
          <c:val>
            <c:numRef>
              <c:f>(Pontuação!$B$18,Pontuação!$D$18)</c:f>
              <c:numCache>
                <c:formatCode>General</c:formatCode>
                <c:ptCount val="2"/>
                <c:pt idx="0">
                  <c:v>14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47-46DD-817C-043ACFF39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PLANTAS NATIVAS DE ZONAS ÚMIDAS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C2-4783-919F-9ADA0E6AA6BE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C2-4783-919F-9ADA0E6AA6BE}"/>
              </c:ext>
            </c:extLst>
          </c:dPt>
          <c:val>
            <c:numRef>
              <c:f>(Pontuação!$B$17,Pontuação!$D$17)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2-4783-919F-9ADA0E6AA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ÁREAS DE PRODUÇÃO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54-4845-93E2-5FC6D0DFD35E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54-4845-93E2-5FC6D0DFD35E}"/>
              </c:ext>
            </c:extLst>
          </c:dPt>
          <c:val>
            <c:numRef>
              <c:f>(Pontuação!$B$4,Pontuação!$D$4)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54-4845-93E2-5FC6D0DFD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PEQUENA NÃO PRODUÇÃO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C4-4E16-9834-2688781301D3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C4-4E16-9834-2688781301D3}"/>
              </c:ext>
            </c:extLst>
          </c:dPt>
          <c:val>
            <c:numRef>
              <c:f>(Pontuação!$B$5,Pontuação!$D$5)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C4-4E16-9834-268878130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GRANDE NÃO PRODUÇÃO</a:t>
            </a:r>
            <a:r>
              <a:rPr lang="pt-BR" sz="1400" b="0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D-4D76-B63C-89E062204395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D-4D76-B63C-89E062204395}"/>
              </c:ext>
            </c:extLst>
          </c:dPt>
          <c:val>
            <c:numRef>
              <c:f>(Pontuação!$B$6,Pontuação!$D$6)</c:f>
              <c:numCache>
                <c:formatCode>General</c:formatCode>
                <c:ptCount val="2"/>
                <c:pt idx="0">
                  <c:v>24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AD-4D76-B63C-89E06220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15240</xdr:colOff>
      <xdr:row>15</xdr:row>
      <xdr:rowOff>59055</xdr:rowOff>
    </xdr:from>
    <xdr:to>
      <xdr:col>29</xdr:col>
      <xdr:colOff>554355</xdr:colOff>
      <xdr:row>25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3C5D475-1E27-4945-8BEA-22D57DA94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45720</xdr:colOff>
      <xdr:row>27</xdr:row>
      <xdr:rowOff>57150</xdr:rowOff>
    </xdr:from>
    <xdr:to>
      <xdr:col>29</xdr:col>
      <xdr:colOff>600075</xdr:colOff>
      <xdr:row>37</xdr:row>
      <xdr:rowOff>93345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3312141-364F-40DC-ADF5-C617E027B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24765</xdr:colOff>
      <xdr:row>15</xdr:row>
      <xdr:rowOff>55245</xdr:rowOff>
    </xdr:from>
    <xdr:to>
      <xdr:col>23</xdr:col>
      <xdr:colOff>582930</xdr:colOff>
      <xdr:row>25</xdr:row>
      <xdr:rowOff>112395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29A1C98-2B70-49F8-8EA1-5D8230814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7620</xdr:colOff>
      <xdr:row>27</xdr:row>
      <xdr:rowOff>74295</xdr:rowOff>
    </xdr:from>
    <xdr:to>
      <xdr:col>24</xdr:col>
      <xdr:colOff>74295</xdr:colOff>
      <xdr:row>37</xdr:row>
      <xdr:rowOff>116205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4B83D69-649D-4F58-8FDD-29A24B023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548640</xdr:colOff>
      <xdr:row>27</xdr:row>
      <xdr:rowOff>76200</xdr:rowOff>
    </xdr:from>
    <xdr:to>
      <xdr:col>17</xdr:col>
      <xdr:colOff>476250</xdr:colOff>
      <xdr:row>37</xdr:row>
      <xdr:rowOff>97155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C4C23CA-17E6-4745-AD1F-4F44EA37B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28575</xdr:colOff>
      <xdr:row>15</xdr:row>
      <xdr:rowOff>68580</xdr:rowOff>
    </xdr:from>
    <xdr:to>
      <xdr:col>17</xdr:col>
      <xdr:colOff>577215</xdr:colOff>
      <xdr:row>25</xdr:row>
      <xdr:rowOff>121920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6BC0BE7-FBCC-45D1-AC83-AA974DF19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430528</xdr:colOff>
      <xdr:row>15</xdr:row>
      <xdr:rowOff>68580</xdr:rowOff>
    </xdr:from>
    <xdr:to>
      <xdr:col>12</xdr:col>
      <xdr:colOff>116205</xdr:colOff>
      <xdr:row>25</xdr:row>
      <xdr:rowOff>139066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99C51BF-1394-42CA-9BC0-4CC95FC70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57150</xdr:colOff>
      <xdr:row>27</xdr:row>
      <xdr:rowOff>76200</xdr:rowOff>
    </xdr:from>
    <xdr:to>
      <xdr:col>12</xdr:col>
      <xdr:colOff>9525</xdr:colOff>
      <xdr:row>37</xdr:row>
      <xdr:rowOff>102870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BCF1BC0-9BFA-40CB-BAFB-5EB75101A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15240</xdr:colOff>
      <xdr:row>15</xdr:row>
      <xdr:rowOff>66675</xdr:rowOff>
    </xdr:from>
    <xdr:to>
      <xdr:col>5</xdr:col>
      <xdr:colOff>550545</xdr:colOff>
      <xdr:row>25</xdr:row>
      <xdr:rowOff>120015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B1127B0-E68A-4A41-BAFE-9FF9202CC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415290</xdr:colOff>
      <xdr:row>27</xdr:row>
      <xdr:rowOff>72390</xdr:rowOff>
    </xdr:from>
    <xdr:to>
      <xdr:col>6</xdr:col>
      <xdr:colOff>262890</xdr:colOff>
      <xdr:row>37</xdr:row>
      <xdr:rowOff>104775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8D9FB28-703B-404F-91E4-4E678EAA9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36195</xdr:colOff>
      <xdr:row>2</xdr:row>
      <xdr:rowOff>76200</xdr:rowOff>
    </xdr:from>
    <xdr:to>
      <xdr:col>11</xdr:col>
      <xdr:colOff>569595</xdr:colOff>
      <xdr:row>12</xdr:row>
      <xdr:rowOff>97155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BEDA2D9-13A3-4B18-B421-41987429A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28575</xdr:colOff>
      <xdr:row>2</xdr:row>
      <xdr:rowOff>74295</xdr:rowOff>
    </xdr:from>
    <xdr:to>
      <xdr:col>16</xdr:col>
      <xdr:colOff>577215</xdr:colOff>
      <xdr:row>12</xdr:row>
      <xdr:rowOff>106680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CEEADDE-67AB-4ABD-A940-6216CD188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38100</xdr:colOff>
      <xdr:row>2</xdr:row>
      <xdr:rowOff>66675</xdr:rowOff>
    </xdr:from>
    <xdr:to>
      <xdr:col>21</xdr:col>
      <xdr:colOff>582930</xdr:colOff>
      <xdr:row>12</xdr:row>
      <xdr:rowOff>93345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22757A6-218D-4D74-976E-EEAEF4575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BF4C-902B-4816-93E5-4032A5893814}">
  <dimension ref="A1:B29"/>
  <sheetViews>
    <sheetView showGridLines="0" zoomScaleNormal="100" workbookViewId="0">
      <selection activeCell="B7" sqref="B7"/>
    </sheetView>
  </sheetViews>
  <sheetFormatPr defaultRowHeight="15.6" x14ac:dyDescent="0.3"/>
  <cols>
    <col min="1" max="1" width="9.109375" style="53"/>
    <col min="2" max="2" width="133.6640625" style="21" bestFit="1" customWidth="1"/>
    <col min="3" max="16384" width="8.88671875" style="21"/>
  </cols>
  <sheetData>
    <row r="1" spans="1:2" ht="16.2" thickBot="1" x14ac:dyDescent="0.35"/>
    <row r="2" spans="1:2" x14ac:dyDescent="0.3">
      <c r="A2" s="44">
        <v>1</v>
      </c>
      <c r="B2" s="33" t="s">
        <v>0</v>
      </c>
    </row>
    <row r="3" spans="1:2" x14ac:dyDescent="0.3">
      <c r="A3" s="51"/>
      <c r="B3" s="34"/>
    </row>
    <row r="4" spans="1:2" x14ac:dyDescent="0.3">
      <c r="A4" s="47">
        <v>2</v>
      </c>
      <c r="B4" s="35" t="s">
        <v>1</v>
      </c>
    </row>
    <row r="5" spans="1:2" x14ac:dyDescent="0.3">
      <c r="A5" s="51"/>
      <c r="B5" s="34"/>
    </row>
    <row r="6" spans="1:2" x14ac:dyDescent="0.3">
      <c r="A6" s="46">
        <v>3</v>
      </c>
      <c r="B6" s="36" t="s">
        <v>2</v>
      </c>
    </row>
    <row r="7" spans="1:2" x14ac:dyDescent="0.3">
      <c r="A7" s="51"/>
      <c r="B7" s="34" t="s">
        <v>71</v>
      </c>
    </row>
    <row r="8" spans="1:2" x14ac:dyDescent="0.3">
      <c r="A8" s="66">
        <v>4</v>
      </c>
      <c r="B8" s="35" t="s">
        <v>3</v>
      </c>
    </row>
    <row r="9" spans="1:2" x14ac:dyDescent="0.3">
      <c r="A9" s="67"/>
      <c r="B9" s="37" t="s">
        <v>4</v>
      </c>
    </row>
    <row r="10" spans="1:2" x14ac:dyDescent="0.3">
      <c r="A10" s="51"/>
      <c r="B10" s="34"/>
    </row>
    <row r="11" spans="1:2" x14ac:dyDescent="0.3">
      <c r="A11" s="46">
        <v>5</v>
      </c>
      <c r="B11" s="38" t="s">
        <v>5</v>
      </c>
    </row>
    <row r="12" spans="1:2" x14ac:dyDescent="0.3">
      <c r="A12" s="51"/>
      <c r="B12" s="34" t="s">
        <v>71</v>
      </c>
    </row>
    <row r="13" spans="1:2" ht="31.2" x14ac:dyDescent="0.3">
      <c r="A13" s="47">
        <v>6</v>
      </c>
      <c r="B13" s="39" t="s">
        <v>6</v>
      </c>
    </row>
    <row r="14" spans="1:2" x14ac:dyDescent="0.3">
      <c r="A14" s="51"/>
      <c r="B14" s="34"/>
    </row>
    <row r="15" spans="1:2" ht="31.2" x14ac:dyDescent="0.3">
      <c r="A15" s="46">
        <v>7</v>
      </c>
      <c r="B15" s="40" t="s">
        <v>7</v>
      </c>
    </row>
    <row r="16" spans="1:2" x14ac:dyDescent="0.3">
      <c r="A16" s="51"/>
      <c r="B16" s="34"/>
    </row>
    <row r="17" spans="1:2" x14ac:dyDescent="0.3">
      <c r="A17" s="47">
        <v>8</v>
      </c>
      <c r="B17" s="37" t="s">
        <v>8</v>
      </c>
    </row>
    <row r="18" spans="1:2" x14ac:dyDescent="0.3">
      <c r="A18" s="51"/>
      <c r="B18" s="34" t="s">
        <v>71</v>
      </c>
    </row>
    <row r="19" spans="1:2" x14ac:dyDescent="0.3">
      <c r="A19" s="70">
        <v>9</v>
      </c>
      <c r="B19" s="36" t="s">
        <v>9</v>
      </c>
    </row>
    <row r="20" spans="1:2" ht="31.2" x14ac:dyDescent="0.3">
      <c r="A20" s="71"/>
      <c r="B20" s="40" t="s">
        <v>10</v>
      </c>
    </row>
    <row r="21" spans="1:2" x14ac:dyDescent="0.3">
      <c r="A21" s="51"/>
      <c r="B21" s="34"/>
    </row>
    <row r="22" spans="1:2" x14ac:dyDescent="0.3">
      <c r="A22" s="47">
        <v>10</v>
      </c>
      <c r="B22" s="37" t="s">
        <v>11</v>
      </c>
    </row>
    <row r="23" spans="1:2" x14ac:dyDescent="0.3">
      <c r="A23" s="51"/>
      <c r="B23" s="34"/>
    </row>
    <row r="24" spans="1:2" ht="31.2" x14ac:dyDescent="0.3">
      <c r="A24" s="46">
        <v>11</v>
      </c>
      <c r="B24" s="40" t="s">
        <v>12</v>
      </c>
    </row>
    <row r="25" spans="1:2" x14ac:dyDescent="0.3">
      <c r="A25" s="51"/>
      <c r="B25" s="34" t="s">
        <v>71</v>
      </c>
    </row>
    <row r="26" spans="1:2" ht="46.8" x14ac:dyDescent="0.3">
      <c r="A26" s="47">
        <v>12</v>
      </c>
      <c r="B26" s="39" t="s">
        <v>13</v>
      </c>
    </row>
    <row r="27" spans="1:2" x14ac:dyDescent="0.3">
      <c r="A27" s="51"/>
      <c r="B27" s="34" t="s">
        <v>71</v>
      </c>
    </row>
    <row r="28" spans="1:2" x14ac:dyDescent="0.3">
      <c r="A28" s="46">
        <v>13</v>
      </c>
      <c r="B28" s="38" t="s">
        <v>14</v>
      </c>
    </row>
    <row r="29" spans="1:2" ht="16.2" thickBot="1" x14ac:dyDescent="0.35">
      <c r="A29" s="54"/>
      <c r="B29" s="41" t="s">
        <v>71</v>
      </c>
    </row>
  </sheetData>
  <mergeCells count="2">
    <mergeCell ref="A8:A9"/>
    <mergeCell ref="A19:A20"/>
  </mergeCells>
  <dataValidations count="1">
    <dataValidation type="list" allowBlank="1" showInputMessage="1" showErrorMessage="1" sqref="B3 B5 B7 B10 B12 B14 B16 B18 B21 B23 B25 B27 B29" xr:uid="{BDF4146F-63FF-4298-9E08-8ADA3F84D517}">
      <formula1>"Sim, 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EC9F-D445-4268-9EC9-4710CA2942C1}">
  <dimension ref="A1:B29"/>
  <sheetViews>
    <sheetView showGridLines="0" zoomScaleNormal="100" workbookViewId="0">
      <selection activeCell="B2" sqref="B2"/>
    </sheetView>
  </sheetViews>
  <sheetFormatPr defaultRowHeight="14.4" x14ac:dyDescent="0.3"/>
  <cols>
    <col min="1" max="1" width="9.109375" style="50"/>
    <col min="2" max="2" width="103.88671875" bestFit="1" customWidth="1"/>
  </cols>
  <sheetData>
    <row r="1" spans="1:2" ht="15" thickBot="1" x14ac:dyDescent="0.35"/>
    <row r="2" spans="1:2" ht="15.6" x14ac:dyDescent="0.3">
      <c r="A2" s="72">
        <v>14</v>
      </c>
      <c r="B2" s="33" t="s">
        <v>15</v>
      </c>
    </row>
    <row r="3" spans="1:2" ht="31.2" x14ac:dyDescent="0.3">
      <c r="A3" s="71"/>
      <c r="B3" s="40" t="s">
        <v>16</v>
      </c>
    </row>
    <row r="4" spans="1:2" ht="15.6" x14ac:dyDescent="0.3">
      <c r="A4" s="51"/>
      <c r="B4" s="34" t="s">
        <v>71</v>
      </c>
    </row>
    <row r="5" spans="1:2" ht="31.2" x14ac:dyDescent="0.3">
      <c r="A5" s="47">
        <v>15</v>
      </c>
      <c r="B5" s="39" t="s">
        <v>17</v>
      </c>
    </row>
    <row r="6" spans="1:2" ht="15.6" x14ac:dyDescent="0.3">
      <c r="A6" s="51"/>
      <c r="B6" s="34"/>
    </row>
    <row r="7" spans="1:2" ht="15.6" x14ac:dyDescent="0.3">
      <c r="A7" s="70">
        <v>16</v>
      </c>
      <c r="B7" s="36" t="s">
        <v>18</v>
      </c>
    </row>
    <row r="8" spans="1:2" ht="15.6" x14ac:dyDescent="0.3">
      <c r="A8" s="71"/>
      <c r="B8" s="38" t="s">
        <v>19</v>
      </c>
    </row>
    <row r="9" spans="1:2" ht="15.6" x14ac:dyDescent="0.3">
      <c r="A9" s="51"/>
      <c r="B9" s="34" t="s">
        <v>71</v>
      </c>
    </row>
    <row r="10" spans="1:2" ht="15.6" x14ac:dyDescent="0.3">
      <c r="A10" s="47">
        <v>17</v>
      </c>
      <c r="B10" s="37" t="s">
        <v>20</v>
      </c>
    </row>
    <row r="11" spans="1:2" ht="15.6" x14ac:dyDescent="0.3">
      <c r="A11" s="51"/>
      <c r="B11" s="34"/>
    </row>
    <row r="12" spans="1:2" ht="15.6" x14ac:dyDescent="0.3">
      <c r="A12" s="46">
        <v>18</v>
      </c>
      <c r="B12" s="38" t="s">
        <v>21</v>
      </c>
    </row>
    <row r="13" spans="1:2" ht="15.6" x14ac:dyDescent="0.3">
      <c r="A13" s="51"/>
      <c r="B13" s="34"/>
    </row>
    <row r="14" spans="1:2" ht="15.6" x14ac:dyDescent="0.3">
      <c r="A14" s="66">
        <v>19</v>
      </c>
      <c r="B14" s="35" t="s">
        <v>22</v>
      </c>
    </row>
    <row r="15" spans="1:2" ht="31.2" x14ac:dyDescent="0.3">
      <c r="A15" s="67"/>
      <c r="B15" s="39" t="s">
        <v>23</v>
      </c>
    </row>
    <row r="16" spans="1:2" ht="15.6" x14ac:dyDescent="0.3">
      <c r="A16" s="51"/>
      <c r="B16" s="34" t="s">
        <v>71</v>
      </c>
    </row>
    <row r="17" spans="1:2" ht="31.2" x14ac:dyDescent="0.3">
      <c r="A17" s="46">
        <v>20</v>
      </c>
      <c r="B17" s="40" t="s">
        <v>24</v>
      </c>
    </row>
    <row r="18" spans="1:2" ht="15.6" x14ac:dyDescent="0.3">
      <c r="A18" s="51"/>
      <c r="B18" s="34"/>
    </row>
    <row r="19" spans="1:2" ht="15.6" x14ac:dyDescent="0.3">
      <c r="A19" s="47">
        <v>21</v>
      </c>
      <c r="B19" s="35" t="s">
        <v>25</v>
      </c>
    </row>
    <row r="20" spans="1:2" ht="15.6" x14ac:dyDescent="0.3">
      <c r="A20" s="51"/>
      <c r="B20" s="34" t="s">
        <v>71</v>
      </c>
    </row>
    <row r="21" spans="1:2" ht="15.6" x14ac:dyDescent="0.3">
      <c r="A21" s="70">
        <v>22</v>
      </c>
      <c r="B21" s="36" t="s">
        <v>26</v>
      </c>
    </row>
    <row r="22" spans="1:2" ht="31.2" x14ac:dyDescent="0.3">
      <c r="A22" s="71"/>
      <c r="B22" s="40" t="s">
        <v>27</v>
      </c>
    </row>
    <row r="23" spans="1:2" ht="15.6" x14ac:dyDescent="0.3">
      <c r="A23" s="51"/>
      <c r="B23" s="34" t="s">
        <v>71</v>
      </c>
    </row>
    <row r="24" spans="1:2" ht="15.6" x14ac:dyDescent="0.3">
      <c r="A24" s="47">
        <v>23</v>
      </c>
      <c r="B24" s="37" t="s">
        <v>28</v>
      </c>
    </row>
    <row r="25" spans="1:2" ht="15.6" x14ac:dyDescent="0.3">
      <c r="A25" s="51"/>
      <c r="B25" s="34" t="s">
        <v>71</v>
      </c>
    </row>
    <row r="26" spans="1:2" ht="31.2" x14ac:dyDescent="0.3">
      <c r="A26" s="46">
        <v>24</v>
      </c>
      <c r="B26" s="40" t="s">
        <v>29</v>
      </c>
    </row>
    <row r="27" spans="1:2" ht="15.6" x14ac:dyDescent="0.3">
      <c r="A27" s="51"/>
      <c r="B27" s="34" t="s">
        <v>71</v>
      </c>
    </row>
    <row r="28" spans="1:2" ht="31.2" x14ac:dyDescent="0.3">
      <c r="A28" s="47">
        <v>25</v>
      </c>
      <c r="B28" s="39" t="s">
        <v>30</v>
      </c>
    </row>
    <row r="29" spans="1:2" ht="15" thickBot="1" x14ac:dyDescent="0.35">
      <c r="A29" s="52"/>
      <c r="B29" s="42"/>
    </row>
  </sheetData>
  <mergeCells count="4">
    <mergeCell ref="A21:A22"/>
    <mergeCell ref="A14:A15"/>
    <mergeCell ref="A2:A3"/>
    <mergeCell ref="A7:A8"/>
  </mergeCells>
  <dataValidations count="1">
    <dataValidation type="list" allowBlank="1" showInputMessage="1" showErrorMessage="1" sqref="B4 B6 B9 B11 B13 B16 B18 B20 B23 B25 B27 B29" xr:uid="{61B0257A-69F1-4D28-9893-3D5610C9F8E6}">
      <formula1>"Sim, 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70E4-AA94-4B0B-BEBD-4F5B007CF611}">
  <dimension ref="A1:B41"/>
  <sheetViews>
    <sheetView showGridLines="0" zoomScaleNormal="100" workbookViewId="0">
      <selection activeCell="B6" sqref="B6"/>
    </sheetView>
  </sheetViews>
  <sheetFormatPr defaultRowHeight="15.6" x14ac:dyDescent="0.3"/>
  <cols>
    <col min="1" max="1" width="9.109375" style="43"/>
    <col min="2" max="2" width="115" style="21" customWidth="1"/>
    <col min="3" max="16384" width="8.88671875" style="21"/>
  </cols>
  <sheetData>
    <row r="1" spans="1:2" ht="16.2" thickBot="1" x14ac:dyDescent="0.35"/>
    <row r="2" spans="1:2" x14ac:dyDescent="0.3">
      <c r="A2" s="44">
        <v>26</v>
      </c>
      <c r="B2" s="33" t="s">
        <v>31</v>
      </c>
    </row>
    <row r="3" spans="1:2" x14ac:dyDescent="0.3">
      <c r="A3" s="45"/>
      <c r="B3" s="34"/>
    </row>
    <row r="4" spans="1:2" x14ac:dyDescent="0.3">
      <c r="A4" s="66">
        <v>27</v>
      </c>
      <c r="B4" s="35" t="s">
        <v>32</v>
      </c>
    </row>
    <row r="5" spans="1:2" x14ac:dyDescent="0.3">
      <c r="A5" s="67"/>
      <c r="B5" s="39" t="s">
        <v>33</v>
      </c>
    </row>
    <row r="6" spans="1:2" x14ac:dyDescent="0.3">
      <c r="A6" s="45"/>
      <c r="B6" s="34" t="s">
        <v>71</v>
      </c>
    </row>
    <row r="7" spans="1:2" x14ac:dyDescent="0.3">
      <c r="A7" s="46">
        <v>28</v>
      </c>
      <c r="B7" s="38" t="s">
        <v>34</v>
      </c>
    </row>
    <row r="8" spans="1:2" x14ac:dyDescent="0.3">
      <c r="A8" s="45"/>
      <c r="B8" s="34" t="s">
        <v>71</v>
      </c>
    </row>
    <row r="9" spans="1:2" x14ac:dyDescent="0.3">
      <c r="A9" s="47">
        <v>29</v>
      </c>
      <c r="B9" s="37" t="s">
        <v>35</v>
      </c>
    </row>
    <row r="10" spans="1:2" x14ac:dyDescent="0.3">
      <c r="A10" s="45"/>
      <c r="B10" s="34" t="s">
        <v>71</v>
      </c>
    </row>
    <row r="11" spans="1:2" x14ac:dyDescent="0.3">
      <c r="A11" s="46">
        <v>30</v>
      </c>
      <c r="B11" s="36" t="s">
        <v>36</v>
      </c>
    </row>
    <row r="12" spans="1:2" x14ac:dyDescent="0.3">
      <c r="A12" s="45"/>
      <c r="B12" s="34" t="s">
        <v>71</v>
      </c>
    </row>
    <row r="13" spans="1:2" x14ac:dyDescent="0.3">
      <c r="A13" s="66">
        <v>31</v>
      </c>
      <c r="B13" s="35" t="s">
        <v>37</v>
      </c>
    </row>
    <row r="14" spans="1:2" x14ac:dyDescent="0.3">
      <c r="A14" s="67"/>
      <c r="B14" s="37" t="s">
        <v>33</v>
      </c>
    </row>
    <row r="15" spans="1:2" x14ac:dyDescent="0.3">
      <c r="A15" s="45"/>
      <c r="B15" s="34"/>
    </row>
    <row r="16" spans="1:2" x14ac:dyDescent="0.3">
      <c r="A16" s="46">
        <v>32</v>
      </c>
      <c r="B16" s="38" t="s">
        <v>34</v>
      </c>
    </row>
    <row r="17" spans="1:2" x14ac:dyDescent="0.3">
      <c r="A17" s="45"/>
      <c r="B17" s="34" t="s">
        <v>71</v>
      </c>
    </row>
    <row r="18" spans="1:2" x14ac:dyDescent="0.3">
      <c r="A18" s="48">
        <v>33</v>
      </c>
      <c r="B18" s="37" t="s">
        <v>35</v>
      </c>
    </row>
    <row r="19" spans="1:2" x14ac:dyDescent="0.3">
      <c r="A19" s="45"/>
      <c r="B19" s="34"/>
    </row>
    <row r="20" spans="1:2" x14ac:dyDescent="0.3">
      <c r="A20" s="46">
        <v>34</v>
      </c>
      <c r="B20" s="36" t="s">
        <v>38</v>
      </c>
    </row>
    <row r="21" spans="1:2" x14ac:dyDescent="0.3">
      <c r="A21" s="45"/>
      <c r="B21" s="34" t="s">
        <v>71</v>
      </c>
    </row>
    <row r="22" spans="1:2" x14ac:dyDescent="0.3">
      <c r="A22" s="66">
        <v>35</v>
      </c>
      <c r="B22" s="35" t="s">
        <v>39</v>
      </c>
    </row>
    <row r="23" spans="1:2" x14ac:dyDescent="0.3">
      <c r="A23" s="67"/>
      <c r="B23" s="37" t="s">
        <v>33</v>
      </c>
    </row>
    <row r="24" spans="1:2" x14ac:dyDescent="0.3">
      <c r="A24" s="45"/>
      <c r="B24" s="34" t="s">
        <v>71</v>
      </c>
    </row>
    <row r="25" spans="1:2" x14ac:dyDescent="0.3">
      <c r="A25" s="46">
        <v>36</v>
      </c>
      <c r="B25" s="38" t="s">
        <v>34</v>
      </c>
    </row>
    <row r="26" spans="1:2" x14ac:dyDescent="0.3">
      <c r="A26" s="45"/>
      <c r="B26" s="34" t="s">
        <v>71</v>
      </c>
    </row>
    <row r="27" spans="1:2" x14ac:dyDescent="0.3">
      <c r="A27" s="48">
        <v>37</v>
      </c>
      <c r="B27" s="37" t="s">
        <v>35</v>
      </c>
    </row>
    <row r="28" spans="1:2" x14ac:dyDescent="0.3">
      <c r="A28" s="45"/>
      <c r="B28" s="34" t="s">
        <v>71</v>
      </c>
    </row>
    <row r="29" spans="1:2" ht="31.2" x14ac:dyDescent="0.3">
      <c r="A29" s="46">
        <v>38</v>
      </c>
      <c r="B29" s="40" t="s">
        <v>40</v>
      </c>
    </row>
    <row r="30" spans="1:2" x14ac:dyDescent="0.3">
      <c r="A30" s="45"/>
      <c r="B30" s="34"/>
    </row>
    <row r="31" spans="1:2" x14ac:dyDescent="0.3">
      <c r="A31" s="48">
        <v>39</v>
      </c>
      <c r="B31" s="37" t="s">
        <v>41</v>
      </c>
    </row>
    <row r="32" spans="1:2" x14ac:dyDescent="0.3">
      <c r="A32" s="45"/>
      <c r="B32" s="34" t="s">
        <v>71</v>
      </c>
    </row>
    <row r="33" spans="1:2" x14ac:dyDescent="0.3">
      <c r="A33" s="68">
        <v>40</v>
      </c>
      <c r="B33" s="36" t="s">
        <v>42</v>
      </c>
    </row>
    <row r="34" spans="1:2" x14ac:dyDescent="0.3">
      <c r="A34" s="69"/>
      <c r="B34" s="38" t="s">
        <v>43</v>
      </c>
    </row>
    <row r="35" spans="1:2" x14ac:dyDescent="0.3">
      <c r="A35" s="45"/>
      <c r="B35" s="34" t="s">
        <v>71</v>
      </c>
    </row>
    <row r="36" spans="1:2" x14ac:dyDescent="0.3">
      <c r="A36" s="48">
        <v>41</v>
      </c>
      <c r="B36" s="37" t="s">
        <v>44</v>
      </c>
    </row>
    <row r="37" spans="1:2" x14ac:dyDescent="0.3">
      <c r="A37" s="45"/>
      <c r="B37" s="34" t="s">
        <v>71</v>
      </c>
    </row>
    <row r="38" spans="1:2" x14ac:dyDescent="0.3">
      <c r="A38" s="46">
        <v>42</v>
      </c>
      <c r="B38" s="38" t="s">
        <v>45</v>
      </c>
    </row>
    <row r="39" spans="1:2" x14ac:dyDescent="0.3">
      <c r="A39" s="45"/>
      <c r="B39" s="34" t="s">
        <v>71</v>
      </c>
    </row>
    <row r="40" spans="1:2" x14ac:dyDescent="0.3">
      <c r="A40" s="48">
        <v>43</v>
      </c>
      <c r="B40" s="37" t="s">
        <v>46</v>
      </c>
    </row>
    <row r="41" spans="1:2" ht="16.2" thickBot="1" x14ac:dyDescent="0.35">
      <c r="A41" s="49"/>
      <c r="B41" s="41"/>
    </row>
  </sheetData>
  <mergeCells count="4">
    <mergeCell ref="A13:A14"/>
    <mergeCell ref="A4:A5"/>
    <mergeCell ref="A22:A23"/>
    <mergeCell ref="A33:A34"/>
  </mergeCells>
  <dataValidations count="1">
    <dataValidation type="list" allowBlank="1" showInputMessage="1" showErrorMessage="1" sqref="B3 B6 B8 B10 B12 B15 B17 B19 B24 B21 B26 B28 B30 B32 B35 B37 B39 B41" xr:uid="{B400777F-9FAB-4AED-AE05-8EA0534B7808}">
      <formula1>"Sim, 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3938-E0A3-4D04-AD72-ABA682A51AC4}">
  <dimension ref="A1:CO18"/>
  <sheetViews>
    <sheetView workbookViewId="0">
      <pane xSplit="1" topLeftCell="B1" activePane="topRight" state="frozen"/>
      <selection pane="topRight" activeCell="H24" sqref="H24"/>
    </sheetView>
  </sheetViews>
  <sheetFormatPr defaultRowHeight="14.4" x14ac:dyDescent="0.3"/>
  <cols>
    <col min="1" max="1" width="63.109375" customWidth="1"/>
    <col min="2" max="2" width="18.5546875" bestFit="1" customWidth="1"/>
    <col min="3" max="3" width="18.5546875" customWidth="1"/>
    <col min="4" max="4" width="18.5546875" hidden="1" customWidth="1"/>
    <col min="5" max="5" width="3.21875" style="3" bestFit="1" customWidth="1"/>
    <col min="6" max="6" width="3.33203125" style="3" bestFit="1" customWidth="1"/>
    <col min="7" max="7" width="3.21875" style="3" bestFit="1" customWidth="1"/>
    <col min="8" max="8" width="3.33203125" style="3" bestFit="1" customWidth="1"/>
    <col min="9" max="9" width="3.21875" style="3" bestFit="1" customWidth="1"/>
    <col min="10" max="10" width="3.33203125" style="3" bestFit="1" customWidth="1"/>
    <col min="11" max="11" width="3.21875" style="3" bestFit="1" customWidth="1"/>
    <col min="12" max="12" width="3.33203125" style="3" bestFit="1" customWidth="1"/>
    <col min="13" max="13" width="3.21875" style="3" bestFit="1" customWidth="1"/>
    <col min="14" max="14" width="3.33203125" style="3" bestFit="1" customWidth="1"/>
    <col min="15" max="15" width="3.21875" style="3" bestFit="1" customWidth="1"/>
    <col min="16" max="16" width="3.33203125" style="3" bestFit="1" customWidth="1"/>
    <col min="17" max="17" width="3.21875" style="3" bestFit="1" customWidth="1"/>
    <col min="18" max="18" width="3.33203125" style="3" bestFit="1" customWidth="1"/>
    <col min="19" max="19" width="3.21875" style="3" bestFit="1" customWidth="1"/>
    <col min="20" max="20" width="3.33203125" style="3" bestFit="1" customWidth="1"/>
    <col min="21" max="21" width="3.21875" style="3" bestFit="1" customWidth="1"/>
    <col min="22" max="22" width="3.33203125" style="3" bestFit="1" customWidth="1"/>
    <col min="23" max="23" width="3.21875" style="3" bestFit="1" customWidth="1"/>
    <col min="24" max="24" width="3.33203125" style="3" bestFit="1" customWidth="1"/>
    <col min="25" max="25" width="3.21875" style="3" bestFit="1" customWidth="1"/>
    <col min="26" max="26" width="3.33203125" style="3" bestFit="1" customWidth="1"/>
    <col min="27" max="27" width="3.21875" style="3" bestFit="1" customWidth="1"/>
    <col min="28" max="28" width="3.33203125" style="3" bestFit="1" customWidth="1"/>
    <col min="29" max="29" width="3.21875" style="3" bestFit="1" customWidth="1"/>
    <col min="30" max="30" width="3.33203125" style="3" bestFit="1" customWidth="1"/>
    <col min="31" max="31" width="5" style="2" bestFit="1" customWidth="1"/>
    <col min="32" max="32" width="3.21875" style="3" bestFit="1" customWidth="1"/>
    <col min="33" max="33" width="3.33203125" style="3" bestFit="1" customWidth="1"/>
    <col min="34" max="34" width="3.21875" style="3" bestFit="1" customWidth="1"/>
    <col min="35" max="35" width="3.33203125" style="3" bestFit="1" customWidth="1"/>
    <col min="36" max="36" width="3.21875" style="3" bestFit="1" customWidth="1"/>
    <col min="37" max="37" width="3.33203125" style="3" bestFit="1" customWidth="1"/>
    <col min="38" max="38" width="3.21875" style="3" bestFit="1" customWidth="1"/>
    <col min="39" max="39" width="3.33203125" style="3" bestFit="1" customWidth="1"/>
    <col min="40" max="40" width="3.21875" bestFit="1" customWidth="1"/>
    <col min="41" max="41" width="3.33203125" bestFit="1" customWidth="1"/>
    <col min="42" max="42" width="3.21875" bestFit="1" customWidth="1"/>
    <col min="43" max="43" width="3.33203125" bestFit="1" customWidth="1"/>
    <col min="44" max="44" width="3.21875" bestFit="1" customWidth="1"/>
    <col min="45" max="45" width="3.33203125" bestFit="1" customWidth="1"/>
    <col min="46" max="46" width="3.21875" bestFit="1" customWidth="1"/>
    <col min="47" max="47" width="3.33203125" bestFit="1" customWidth="1"/>
    <col min="48" max="48" width="3.21875" bestFit="1" customWidth="1"/>
    <col min="49" max="49" width="3.33203125" bestFit="1" customWidth="1"/>
    <col min="50" max="50" width="3.21875" bestFit="1" customWidth="1"/>
    <col min="51" max="51" width="3.33203125" bestFit="1" customWidth="1"/>
    <col min="52" max="52" width="3.21875" bestFit="1" customWidth="1"/>
    <col min="53" max="53" width="3.33203125" bestFit="1" customWidth="1"/>
    <col min="54" max="54" width="3.21875" bestFit="1" customWidth="1"/>
    <col min="55" max="55" width="3.33203125" bestFit="1" customWidth="1"/>
    <col min="56" max="56" width="5" bestFit="1" customWidth="1"/>
    <col min="57" max="57" width="3.21875" bestFit="1" customWidth="1"/>
    <col min="58" max="58" width="3.33203125" bestFit="1" customWidth="1"/>
    <col min="59" max="59" width="3.21875" bestFit="1" customWidth="1"/>
    <col min="60" max="60" width="3.33203125" bestFit="1" customWidth="1"/>
    <col min="61" max="61" width="3.21875" bestFit="1" customWidth="1"/>
    <col min="62" max="62" width="3.33203125" bestFit="1" customWidth="1"/>
    <col min="63" max="63" width="3.21875" bestFit="1" customWidth="1"/>
    <col min="64" max="64" width="3.33203125" bestFit="1" customWidth="1"/>
    <col min="65" max="65" width="3.21875" bestFit="1" customWidth="1"/>
    <col min="66" max="66" width="3.33203125" bestFit="1" customWidth="1"/>
    <col min="67" max="67" width="3.21875" bestFit="1" customWidth="1"/>
    <col min="68" max="68" width="3.33203125" bestFit="1" customWidth="1"/>
    <col min="69" max="69" width="3.21875" bestFit="1" customWidth="1"/>
    <col min="70" max="70" width="3.33203125" bestFit="1" customWidth="1"/>
    <col min="71" max="71" width="3.21875" bestFit="1" customWidth="1"/>
    <col min="72" max="72" width="3.33203125" bestFit="1" customWidth="1"/>
    <col min="73" max="73" width="3.21875" bestFit="1" customWidth="1"/>
    <col min="74" max="74" width="3.33203125" bestFit="1" customWidth="1"/>
    <col min="75" max="75" width="3.21875" bestFit="1" customWidth="1"/>
    <col min="76" max="76" width="3.33203125" bestFit="1" customWidth="1"/>
    <col min="77" max="77" width="3.21875" bestFit="1" customWidth="1"/>
    <col min="78" max="78" width="3.33203125" bestFit="1" customWidth="1"/>
    <col min="79" max="79" width="3.21875" bestFit="1" customWidth="1"/>
    <col min="80" max="80" width="3.33203125" bestFit="1" customWidth="1"/>
    <col min="81" max="81" width="3.21875" bestFit="1" customWidth="1"/>
    <col min="82" max="82" width="3.33203125" bestFit="1" customWidth="1"/>
    <col min="83" max="83" width="3.21875" bestFit="1" customWidth="1"/>
    <col min="84" max="84" width="3.33203125" bestFit="1" customWidth="1"/>
    <col min="85" max="85" width="3.21875" bestFit="1" customWidth="1"/>
    <col min="86" max="86" width="3.33203125" bestFit="1" customWidth="1"/>
    <col min="87" max="87" width="3.21875" bestFit="1" customWidth="1"/>
    <col min="88" max="88" width="3.33203125" bestFit="1" customWidth="1"/>
    <col min="89" max="89" width="3.21875" bestFit="1" customWidth="1"/>
    <col min="90" max="90" width="3.33203125" bestFit="1" customWidth="1"/>
    <col min="91" max="91" width="3.21875" bestFit="1" customWidth="1"/>
    <col min="92" max="92" width="3.33203125" bestFit="1" customWidth="1"/>
  </cols>
  <sheetData>
    <row r="1" spans="1:93" x14ac:dyDescent="0.3">
      <c r="E1" s="74" t="s">
        <v>65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6"/>
      <c r="AE1" s="2" t="s">
        <v>66</v>
      </c>
      <c r="AF1" s="77" t="s">
        <v>67</v>
      </c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9"/>
      <c r="BD1" s="2" t="s">
        <v>66</v>
      </c>
      <c r="BE1" s="74" t="s">
        <v>68</v>
      </c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6"/>
      <c r="CO1" s="2" t="s">
        <v>66</v>
      </c>
    </row>
    <row r="2" spans="1:93" x14ac:dyDescent="0.3">
      <c r="A2" s="32" t="s">
        <v>48</v>
      </c>
      <c r="B2" s="31" t="s">
        <v>69</v>
      </c>
      <c r="C2" s="31" t="s">
        <v>70</v>
      </c>
      <c r="D2" s="30" t="s">
        <v>72</v>
      </c>
      <c r="E2" s="80">
        <v>1</v>
      </c>
      <c r="F2" s="73"/>
      <c r="G2" s="73">
        <v>2</v>
      </c>
      <c r="H2" s="73"/>
      <c r="I2" s="73">
        <v>3</v>
      </c>
      <c r="J2" s="73"/>
      <c r="K2" s="73">
        <v>4</v>
      </c>
      <c r="L2" s="73"/>
      <c r="M2" s="73">
        <v>5</v>
      </c>
      <c r="N2" s="73"/>
      <c r="O2" s="73">
        <v>6</v>
      </c>
      <c r="P2" s="73"/>
      <c r="Q2" s="73">
        <v>7</v>
      </c>
      <c r="R2" s="73"/>
      <c r="S2" s="73">
        <v>8</v>
      </c>
      <c r="T2" s="73"/>
      <c r="U2" s="73">
        <v>9</v>
      </c>
      <c r="V2" s="73"/>
      <c r="W2" s="73">
        <v>10</v>
      </c>
      <c r="X2" s="73"/>
      <c r="Y2" s="73">
        <v>11</v>
      </c>
      <c r="Z2" s="73"/>
      <c r="AA2" s="73">
        <v>12</v>
      </c>
      <c r="AB2" s="73"/>
      <c r="AC2" s="73">
        <v>13</v>
      </c>
      <c r="AD2" s="81"/>
      <c r="AE2" s="4"/>
      <c r="AF2" s="80">
        <v>14</v>
      </c>
      <c r="AG2" s="73"/>
      <c r="AH2" s="73">
        <v>15</v>
      </c>
      <c r="AI2" s="73"/>
      <c r="AJ2" s="73">
        <v>16</v>
      </c>
      <c r="AK2" s="73"/>
      <c r="AL2" s="73">
        <v>17</v>
      </c>
      <c r="AM2" s="73"/>
      <c r="AN2" s="73">
        <v>18</v>
      </c>
      <c r="AO2" s="73"/>
      <c r="AP2" s="73">
        <v>19</v>
      </c>
      <c r="AQ2" s="73"/>
      <c r="AR2" s="73">
        <v>20</v>
      </c>
      <c r="AS2" s="73"/>
      <c r="AT2" s="73">
        <v>21</v>
      </c>
      <c r="AU2" s="73"/>
      <c r="AV2" s="73">
        <v>22</v>
      </c>
      <c r="AW2" s="73"/>
      <c r="AX2" s="73">
        <v>23</v>
      </c>
      <c r="AY2" s="73"/>
      <c r="AZ2" s="73">
        <v>24</v>
      </c>
      <c r="BA2" s="73"/>
      <c r="BB2" s="73">
        <v>25</v>
      </c>
      <c r="BC2" s="81"/>
      <c r="BD2" s="4"/>
      <c r="BE2" s="83">
        <v>26</v>
      </c>
      <c r="BF2" s="82"/>
      <c r="BG2" s="82">
        <v>27</v>
      </c>
      <c r="BH2" s="82"/>
      <c r="BI2" s="82">
        <v>28</v>
      </c>
      <c r="BJ2" s="82"/>
      <c r="BK2" s="82">
        <v>29</v>
      </c>
      <c r="BL2" s="82"/>
      <c r="BM2" s="82">
        <v>30</v>
      </c>
      <c r="BN2" s="82"/>
      <c r="BO2" s="82">
        <v>31</v>
      </c>
      <c r="BP2" s="82"/>
      <c r="BQ2" s="82">
        <v>32</v>
      </c>
      <c r="BR2" s="82"/>
      <c r="BS2" s="82">
        <v>33</v>
      </c>
      <c r="BT2" s="82"/>
      <c r="BU2" s="82">
        <v>34</v>
      </c>
      <c r="BV2" s="82"/>
      <c r="BW2" s="82">
        <v>35</v>
      </c>
      <c r="BX2" s="82"/>
      <c r="BY2" s="82">
        <v>36</v>
      </c>
      <c r="BZ2" s="82"/>
      <c r="CA2" s="82">
        <v>37</v>
      </c>
      <c r="CB2" s="82"/>
      <c r="CC2" s="82">
        <v>38</v>
      </c>
      <c r="CD2" s="82"/>
      <c r="CE2" s="82">
        <v>39</v>
      </c>
      <c r="CF2" s="82"/>
      <c r="CG2" s="82">
        <v>40</v>
      </c>
      <c r="CH2" s="82"/>
      <c r="CI2" s="82">
        <v>41</v>
      </c>
      <c r="CJ2" s="82"/>
      <c r="CK2" s="82">
        <v>42</v>
      </c>
      <c r="CL2" s="82"/>
      <c r="CM2" s="82">
        <v>43</v>
      </c>
      <c r="CN2" s="84"/>
      <c r="CO2" s="4"/>
    </row>
    <row r="3" spans="1:93" x14ac:dyDescent="0.3">
      <c r="B3" s="1"/>
      <c r="C3" s="1"/>
      <c r="D3" s="1"/>
      <c r="E3" s="9" t="s">
        <v>63</v>
      </c>
      <c r="F3" s="8" t="s">
        <v>64</v>
      </c>
      <c r="G3" s="9" t="s">
        <v>63</v>
      </c>
      <c r="H3" s="8" t="s">
        <v>64</v>
      </c>
      <c r="I3" s="9" t="s">
        <v>63</v>
      </c>
      <c r="J3" s="8" t="s">
        <v>64</v>
      </c>
      <c r="K3" s="9" t="s">
        <v>63</v>
      </c>
      <c r="L3" s="8" t="s">
        <v>64</v>
      </c>
      <c r="M3" s="9" t="s">
        <v>63</v>
      </c>
      <c r="N3" s="8" t="s">
        <v>64</v>
      </c>
      <c r="O3" s="9" t="s">
        <v>63</v>
      </c>
      <c r="P3" s="8" t="s">
        <v>64</v>
      </c>
      <c r="Q3" s="9" t="s">
        <v>63</v>
      </c>
      <c r="R3" s="8" t="s">
        <v>64</v>
      </c>
      <c r="S3" s="9" t="s">
        <v>63</v>
      </c>
      <c r="T3" s="8" t="s">
        <v>64</v>
      </c>
      <c r="U3" s="9" t="s">
        <v>63</v>
      </c>
      <c r="V3" s="8" t="s">
        <v>64</v>
      </c>
      <c r="W3" s="9" t="s">
        <v>63</v>
      </c>
      <c r="X3" s="8" t="s">
        <v>64</v>
      </c>
      <c r="Y3" s="9" t="s">
        <v>63</v>
      </c>
      <c r="Z3" s="8" t="s">
        <v>64</v>
      </c>
      <c r="AA3" s="9" t="s">
        <v>63</v>
      </c>
      <c r="AB3" s="8" t="s">
        <v>64</v>
      </c>
      <c r="AC3" s="9" t="s">
        <v>63</v>
      </c>
      <c r="AD3" s="8" t="s">
        <v>64</v>
      </c>
      <c r="AE3" s="4"/>
      <c r="AF3" s="9" t="s">
        <v>63</v>
      </c>
      <c r="AG3" s="8" t="s">
        <v>64</v>
      </c>
      <c r="AH3" s="9" t="s">
        <v>63</v>
      </c>
      <c r="AI3" s="8" t="s">
        <v>64</v>
      </c>
      <c r="AJ3" s="9" t="s">
        <v>63</v>
      </c>
      <c r="AK3" s="8" t="s">
        <v>64</v>
      </c>
      <c r="AL3" s="9" t="s">
        <v>63</v>
      </c>
      <c r="AM3" s="8" t="s">
        <v>64</v>
      </c>
      <c r="AN3" s="9" t="s">
        <v>63</v>
      </c>
      <c r="AO3" s="8" t="s">
        <v>64</v>
      </c>
      <c r="AP3" s="9" t="s">
        <v>63</v>
      </c>
      <c r="AQ3" s="8" t="s">
        <v>64</v>
      </c>
      <c r="AR3" s="9" t="s">
        <v>63</v>
      </c>
      <c r="AS3" s="8" t="s">
        <v>64</v>
      </c>
      <c r="AT3" s="9" t="s">
        <v>63</v>
      </c>
      <c r="AU3" s="8" t="s">
        <v>64</v>
      </c>
      <c r="AV3" s="9" t="s">
        <v>63</v>
      </c>
      <c r="AW3" s="8" t="s">
        <v>64</v>
      </c>
      <c r="AX3" s="9" t="s">
        <v>63</v>
      </c>
      <c r="AY3" s="8" t="s">
        <v>64</v>
      </c>
      <c r="AZ3" s="9" t="s">
        <v>63</v>
      </c>
      <c r="BA3" s="8" t="s">
        <v>64</v>
      </c>
      <c r="BB3" s="9" t="s">
        <v>63</v>
      </c>
      <c r="BC3" s="8" t="s">
        <v>64</v>
      </c>
      <c r="BD3" s="4"/>
      <c r="BE3" s="9" t="s">
        <v>63</v>
      </c>
      <c r="BF3" s="8" t="s">
        <v>64</v>
      </c>
      <c r="BG3" s="9" t="s">
        <v>63</v>
      </c>
      <c r="BH3" s="8" t="s">
        <v>64</v>
      </c>
      <c r="BI3" s="9" t="s">
        <v>63</v>
      </c>
      <c r="BJ3" s="8" t="s">
        <v>64</v>
      </c>
      <c r="BK3" s="9" t="s">
        <v>63</v>
      </c>
      <c r="BL3" s="8" t="s">
        <v>64</v>
      </c>
      <c r="BM3" s="9" t="s">
        <v>63</v>
      </c>
      <c r="BN3" s="8" t="s">
        <v>64</v>
      </c>
      <c r="BO3" s="9" t="s">
        <v>63</v>
      </c>
      <c r="BP3" s="8" t="s">
        <v>64</v>
      </c>
      <c r="BQ3" s="9" t="s">
        <v>63</v>
      </c>
      <c r="BR3" s="8" t="s">
        <v>64</v>
      </c>
      <c r="BS3" s="9" t="s">
        <v>63</v>
      </c>
      <c r="BT3" s="8" t="s">
        <v>64</v>
      </c>
      <c r="BU3" s="9" t="s">
        <v>63</v>
      </c>
      <c r="BV3" s="8" t="s">
        <v>64</v>
      </c>
      <c r="BW3" s="9" t="s">
        <v>63</v>
      </c>
      <c r="BX3" s="8" t="s">
        <v>64</v>
      </c>
      <c r="BY3" s="9" t="s">
        <v>63</v>
      </c>
      <c r="BZ3" s="8" t="s">
        <v>64</v>
      </c>
      <c r="CA3" s="9" t="s">
        <v>63</v>
      </c>
      <c r="CB3" s="8" t="s">
        <v>64</v>
      </c>
      <c r="CC3" s="9" t="s">
        <v>63</v>
      </c>
      <c r="CD3" s="8" t="s">
        <v>64</v>
      </c>
      <c r="CE3" s="9" t="s">
        <v>63</v>
      </c>
      <c r="CF3" s="8" t="s">
        <v>64</v>
      </c>
      <c r="CG3" s="9" t="s">
        <v>63</v>
      </c>
      <c r="CH3" s="8" t="s">
        <v>64</v>
      </c>
      <c r="CI3" s="9" t="s">
        <v>63</v>
      </c>
      <c r="CJ3" s="8" t="s">
        <v>64</v>
      </c>
      <c r="CK3" s="9" t="s">
        <v>63</v>
      </c>
      <c r="CL3" s="8" t="s">
        <v>64</v>
      </c>
      <c r="CM3" s="9" t="s">
        <v>63</v>
      </c>
      <c r="CN3" s="8" t="s">
        <v>64</v>
      </c>
      <c r="CO3" s="4"/>
    </row>
    <row r="4" spans="1:93" x14ac:dyDescent="0.3">
      <c r="A4" s="55" t="s">
        <v>49</v>
      </c>
      <c r="B4" s="56">
        <f>SUM(E4:AD4)</f>
        <v>4</v>
      </c>
      <c r="C4" s="1">
        <v>7</v>
      </c>
      <c r="D4" s="1">
        <f>C4-B4</f>
        <v>3</v>
      </c>
      <c r="E4" s="24"/>
      <c r="F4" s="2"/>
      <c r="G4" s="25"/>
      <c r="H4" s="2"/>
      <c r="I4" s="25">
        <f>IF('Area de produção'!B7="Sim",1,0)</f>
        <v>1</v>
      </c>
      <c r="J4" s="2"/>
      <c r="K4" s="25">
        <f>IF('Area de produção'!B10="Sim",2,0)</f>
        <v>0</v>
      </c>
      <c r="L4" s="2"/>
      <c r="M4" s="25">
        <f>IF('Area de produção'!B12="Sim",1,0)</f>
        <v>1</v>
      </c>
      <c r="N4" s="2"/>
      <c r="O4" s="25"/>
      <c r="P4" s="2"/>
      <c r="Q4" s="25"/>
      <c r="R4" s="2"/>
      <c r="S4" s="25"/>
      <c r="T4" s="2"/>
      <c r="U4" s="25">
        <f>IF('Area de produção'!B21="Sim",1,0)</f>
        <v>0</v>
      </c>
      <c r="V4" s="2"/>
      <c r="W4" s="25"/>
      <c r="X4" s="2"/>
      <c r="Y4" s="25">
        <f>IF('Area de produção'!B25="Sim",1,0)</f>
        <v>1</v>
      </c>
      <c r="Z4" s="2"/>
      <c r="AA4" s="25"/>
      <c r="AB4" s="2"/>
      <c r="AC4" s="25">
        <f>IF('Area de produção'!B29="Sim",1,0)</f>
        <v>1</v>
      </c>
      <c r="AD4" s="20"/>
      <c r="AE4" s="4">
        <f>SUM(E4:AD4)</f>
        <v>4</v>
      </c>
      <c r="AF4" s="24"/>
      <c r="AG4" s="2"/>
      <c r="AH4" s="25"/>
      <c r="AI4" s="2"/>
      <c r="AJ4" s="25"/>
      <c r="AK4" s="2"/>
      <c r="AL4" s="25"/>
      <c r="AM4" s="2"/>
      <c r="AN4" s="25"/>
      <c r="AO4" s="2"/>
      <c r="AP4" s="25"/>
      <c r="AQ4" s="2"/>
      <c r="AR4" s="25"/>
      <c r="AS4" s="2"/>
      <c r="AT4" s="25"/>
      <c r="AU4" s="2"/>
      <c r="AV4" s="25"/>
      <c r="AW4" s="2"/>
      <c r="AX4" s="25"/>
      <c r="AY4" s="2"/>
      <c r="AZ4" s="25"/>
      <c r="BA4" s="2"/>
      <c r="BB4" s="25"/>
      <c r="BC4" s="5"/>
      <c r="BD4" s="4">
        <f>SUM(AF4:BC4)</f>
        <v>0</v>
      </c>
      <c r="BE4" s="22"/>
      <c r="BF4" s="18"/>
      <c r="BG4" s="23"/>
      <c r="BH4" s="18"/>
      <c r="BI4" s="23"/>
      <c r="BJ4" s="18"/>
      <c r="BK4" s="23"/>
      <c r="BL4" s="18"/>
      <c r="BM4" s="23"/>
      <c r="BN4" s="18"/>
      <c r="BO4" s="23"/>
      <c r="BP4" s="18"/>
      <c r="BQ4" s="23"/>
      <c r="BR4" s="18"/>
      <c r="BS4" s="23"/>
      <c r="BT4" s="18"/>
      <c r="BU4" s="23"/>
      <c r="BV4" s="18"/>
      <c r="BW4" s="23"/>
      <c r="BX4" s="18"/>
      <c r="BY4" s="23"/>
      <c r="BZ4" s="18"/>
      <c r="CA4" s="23"/>
      <c r="CB4" s="18"/>
      <c r="CC4" s="23"/>
      <c r="CD4" s="18"/>
      <c r="CE4" s="23"/>
      <c r="CF4" s="18"/>
      <c r="CG4" s="23"/>
      <c r="CH4" s="18"/>
      <c r="CI4" s="23"/>
      <c r="CJ4" s="18"/>
      <c r="CK4" s="23"/>
      <c r="CL4" s="18"/>
      <c r="CM4" s="23"/>
      <c r="CN4" s="19"/>
      <c r="CO4" s="4">
        <f>SUM(BE4:CN4)</f>
        <v>0</v>
      </c>
    </row>
    <row r="5" spans="1:93" x14ac:dyDescent="0.3">
      <c r="A5" s="55" t="s">
        <v>50</v>
      </c>
      <c r="B5" s="56">
        <f>SUM(AF5:BC5)</f>
        <v>6</v>
      </c>
      <c r="C5" s="1">
        <v>13</v>
      </c>
      <c r="D5" s="1">
        <f t="shared" ref="D5:D6" si="0">C5-B5</f>
        <v>7</v>
      </c>
      <c r="E5" s="24"/>
      <c r="F5" s="2"/>
      <c r="G5" s="25"/>
      <c r="H5" s="2"/>
      <c r="I5" s="25"/>
      <c r="J5" s="2"/>
      <c r="K5" s="25"/>
      <c r="L5" s="2"/>
      <c r="M5" s="25"/>
      <c r="N5" s="2"/>
      <c r="O5" s="25"/>
      <c r="P5" s="2"/>
      <c r="Q5" s="25"/>
      <c r="R5" s="2"/>
      <c r="S5" s="25"/>
      <c r="T5" s="2"/>
      <c r="U5" s="25"/>
      <c r="V5" s="2"/>
      <c r="W5" s="25"/>
      <c r="X5" s="2"/>
      <c r="Y5" s="25"/>
      <c r="Z5" s="2"/>
      <c r="AA5" s="25"/>
      <c r="AB5" s="2"/>
      <c r="AC5" s="25"/>
      <c r="AD5" s="20"/>
      <c r="AE5" s="4">
        <f t="shared" ref="AE5:AE18" si="1">SUM(E5:AD5)</f>
        <v>0</v>
      </c>
      <c r="AF5" s="24">
        <f>IF('Pequena area não produtiva'!B4="Sim",1,0)</f>
        <v>1</v>
      </c>
      <c r="AG5" s="2"/>
      <c r="AH5" s="25">
        <f>IF('Pequena area não produtiva'!B6="Sim",2,0)</f>
        <v>0</v>
      </c>
      <c r="AI5" s="2"/>
      <c r="AJ5" s="25"/>
      <c r="AK5" s="2"/>
      <c r="AL5" s="25"/>
      <c r="AM5" s="2"/>
      <c r="AN5" s="25">
        <f>IF('Pequena area não produtiva'!B13="Sim",2,0)</f>
        <v>0</v>
      </c>
      <c r="AO5" s="2"/>
      <c r="AP5" s="25">
        <f>IF('Pequena area não produtiva'!B16="Sim",1,0)</f>
        <v>1</v>
      </c>
      <c r="AQ5" s="2"/>
      <c r="AR5" s="25">
        <f>IF('Pequena area não produtiva'!B18="Sim",2,0)</f>
        <v>0</v>
      </c>
      <c r="AS5" s="2"/>
      <c r="AT5" s="25">
        <f>IF('Pequena area não produtiva'!B20="Sim",1,0)</f>
        <v>1</v>
      </c>
      <c r="AU5" s="2"/>
      <c r="AV5" s="25">
        <f>IF('Pequena area não produtiva'!B23="Sim",1,0)</f>
        <v>1</v>
      </c>
      <c r="AW5" s="2"/>
      <c r="AX5" s="25">
        <f>IF('Pequena area não produtiva'!B25="Sim",1,0)</f>
        <v>1</v>
      </c>
      <c r="AY5" s="2"/>
      <c r="AZ5" s="25">
        <f>IF('Pequena area não produtiva'!B27="Sim",1,0)</f>
        <v>1</v>
      </c>
      <c r="BA5" s="2"/>
      <c r="BB5" s="25">
        <f>IF('Pequena area não produtiva'!B29="Sim",1,0)</f>
        <v>0</v>
      </c>
      <c r="BC5" s="5"/>
      <c r="BD5" s="4">
        <f t="shared" ref="BD5:BD18" si="2">SUM(AF5:BC5)</f>
        <v>6</v>
      </c>
      <c r="BE5" s="24"/>
      <c r="BF5" s="2"/>
      <c r="BG5" s="25"/>
      <c r="BH5" s="2"/>
      <c r="BI5" s="25"/>
      <c r="BJ5" s="2"/>
      <c r="BK5" s="25"/>
      <c r="BL5" s="2"/>
      <c r="BM5" s="25"/>
      <c r="BN5" s="2"/>
      <c r="BO5" s="25"/>
      <c r="BP5" s="2"/>
      <c r="BQ5" s="25"/>
      <c r="BR5" s="2"/>
      <c r="BS5" s="25"/>
      <c r="BT5" s="2"/>
      <c r="BU5" s="25"/>
      <c r="BV5" s="2"/>
      <c r="BW5" s="25"/>
      <c r="BX5" s="2"/>
      <c r="BY5" s="25"/>
      <c r="BZ5" s="2"/>
      <c r="CA5" s="25"/>
      <c r="CB5" s="2"/>
      <c r="CC5" s="25"/>
      <c r="CD5" s="2"/>
      <c r="CE5" s="25"/>
      <c r="CF5" s="2"/>
      <c r="CG5" s="25"/>
      <c r="CH5" s="2"/>
      <c r="CI5" s="25"/>
      <c r="CJ5" s="2"/>
      <c r="CK5" s="25"/>
      <c r="CL5" s="2"/>
      <c r="CM5" s="25"/>
      <c r="CN5" s="20"/>
      <c r="CO5" s="4">
        <f t="shared" ref="CO5:CO18" si="3">SUM(BE5:CN5)</f>
        <v>0</v>
      </c>
    </row>
    <row r="6" spans="1:93" x14ac:dyDescent="0.3">
      <c r="A6" s="55" t="s">
        <v>51</v>
      </c>
      <c r="B6" s="56">
        <f>SUM(BE6:CN6)</f>
        <v>24</v>
      </c>
      <c r="C6" s="1">
        <v>31</v>
      </c>
      <c r="D6" s="1">
        <f t="shared" si="0"/>
        <v>7</v>
      </c>
      <c r="E6" s="24"/>
      <c r="F6" s="2"/>
      <c r="G6" s="25"/>
      <c r="H6" s="2"/>
      <c r="I6" s="25"/>
      <c r="J6" s="2"/>
      <c r="K6" s="25"/>
      <c r="L6" s="2"/>
      <c r="M6" s="25"/>
      <c r="N6" s="2"/>
      <c r="O6" s="25"/>
      <c r="P6" s="2"/>
      <c r="Q6" s="25"/>
      <c r="R6" s="2"/>
      <c r="S6" s="25"/>
      <c r="T6" s="2"/>
      <c r="U6" s="25"/>
      <c r="V6" s="2"/>
      <c r="W6" s="25"/>
      <c r="X6" s="2"/>
      <c r="Y6" s="25"/>
      <c r="Z6" s="2"/>
      <c r="AA6" s="25"/>
      <c r="AB6" s="2"/>
      <c r="AC6" s="25"/>
      <c r="AD6" s="20"/>
      <c r="AE6" s="4">
        <f>SUM(E6:AD6)</f>
        <v>0</v>
      </c>
      <c r="AF6" s="24"/>
      <c r="AG6" s="2"/>
      <c r="AH6" s="25"/>
      <c r="AI6" s="2"/>
      <c r="AJ6" s="25"/>
      <c r="AK6" s="2"/>
      <c r="AL6" s="25"/>
      <c r="AM6" s="2"/>
      <c r="AN6" s="25"/>
      <c r="AO6" s="2"/>
      <c r="AP6" s="25"/>
      <c r="AQ6" s="2"/>
      <c r="AR6" s="25"/>
      <c r="AS6" s="2"/>
      <c r="AT6" s="25"/>
      <c r="AU6" s="2"/>
      <c r="AV6" s="25"/>
      <c r="AW6" s="2"/>
      <c r="AX6" s="25"/>
      <c r="AY6" s="2"/>
      <c r="AZ6" s="25"/>
      <c r="BA6" s="2"/>
      <c r="BB6" s="25"/>
      <c r="BC6" s="5"/>
      <c r="BD6" s="4">
        <f t="shared" si="2"/>
        <v>0</v>
      </c>
      <c r="BE6" s="24">
        <f>IF('Grande area não produtiva'!B3="Sim",1,0)</f>
        <v>0</v>
      </c>
      <c r="BF6" s="2"/>
      <c r="BG6" s="25">
        <f>IF('Grande area não produtiva'!B6="Sim",2,0)</f>
        <v>2</v>
      </c>
      <c r="BH6" s="2"/>
      <c r="BI6" s="25">
        <f>IF('Grande area não produtiva'!B8="Sim",2,0)</f>
        <v>2</v>
      </c>
      <c r="BJ6" s="2"/>
      <c r="BK6" s="25">
        <f>IF('Grande area não produtiva'!B10="Sim",1,0)</f>
        <v>1</v>
      </c>
      <c r="BL6" s="2"/>
      <c r="BM6" s="25">
        <f>IF('Grande area não produtiva'!B12="Sim",2,0)</f>
        <v>2</v>
      </c>
      <c r="BN6" s="2"/>
      <c r="BO6" s="25">
        <f>IF('Grande area não produtiva'!B15="Sim",2,0)</f>
        <v>0</v>
      </c>
      <c r="BP6" s="2"/>
      <c r="BQ6" s="25">
        <f>IF('Grande area não produtiva'!B17="Sim",2,0)</f>
        <v>2</v>
      </c>
      <c r="BR6" s="2"/>
      <c r="BS6" s="25"/>
      <c r="BT6" s="2"/>
      <c r="BU6" s="25">
        <f>IF('Grande area não produtiva'!$B$21="Sim",2,0)</f>
        <v>2</v>
      </c>
      <c r="BV6" s="2"/>
      <c r="BW6" s="25">
        <f>IF('Grande area não produtiva'!$B$24="Sim",2,0)</f>
        <v>2</v>
      </c>
      <c r="BX6" s="2"/>
      <c r="BY6" s="25">
        <f>IF('Grande area não produtiva'!$B$26="Sim",2,0)</f>
        <v>2</v>
      </c>
      <c r="BZ6" s="2"/>
      <c r="CA6" s="25">
        <f>IF('Grande area não produtiva'!$B$28="Sim",1,0)</f>
        <v>1</v>
      </c>
      <c r="CB6" s="2"/>
      <c r="CC6" s="25">
        <f>IF('Grande area não produtiva'!$B$30="Sim",2,0)</f>
        <v>0</v>
      </c>
      <c r="CD6" s="2"/>
      <c r="CE6" s="25">
        <f>IF('Grande area não produtiva'!$B$32="Sim",2,0)</f>
        <v>2</v>
      </c>
      <c r="CF6" s="2"/>
      <c r="CG6" s="25">
        <f>IF('Grande area não produtiva'!$B$35="Sim",2,0)</f>
        <v>2</v>
      </c>
      <c r="CH6" s="2"/>
      <c r="CI6" s="25">
        <f>IF('Grande area não produtiva'!$B$37="Sim",2,0)</f>
        <v>2</v>
      </c>
      <c r="CJ6" s="2"/>
      <c r="CK6" s="25">
        <f>IF('Grande area não produtiva'!$B$39="Sim",2,0)</f>
        <v>2</v>
      </c>
      <c r="CL6" s="2"/>
      <c r="CM6" s="25">
        <f>IF('Grande area não produtiva'!$B$41="Sim",2,0)</f>
        <v>0</v>
      </c>
      <c r="CN6" s="20"/>
      <c r="CO6" s="4">
        <f t="shared" si="3"/>
        <v>24</v>
      </c>
    </row>
    <row r="7" spans="1:93" x14ac:dyDescent="0.3">
      <c r="A7" s="30" t="s">
        <v>47</v>
      </c>
      <c r="B7" s="31" t="s">
        <v>69</v>
      </c>
      <c r="C7" s="31" t="s">
        <v>70</v>
      </c>
      <c r="D7" s="30" t="s">
        <v>72</v>
      </c>
      <c r="E7" s="24"/>
      <c r="F7" s="2"/>
      <c r="G7" s="25"/>
      <c r="H7" s="2"/>
      <c r="I7" s="25"/>
      <c r="J7" s="2"/>
      <c r="K7" s="25"/>
      <c r="L7" s="2"/>
      <c r="M7" s="25"/>
      <c r="N7" s="2"/>
      <c r="O7" s="25"/>
      <c r="P7" s="2"/>
      <c r="Q7" s="25"/>
      <c r="R7" s="2"/>
      <c r="S7" s="25"/>
      <c r="T7" s="2"/>
      <c r="U7" s="25"/>
      <c r="V7" s="2"/>
      <c r="W7" s="25"/>
      <c r="X7" s="2"/>
      <c r="Y7" s="25"/>
      <c r="Z7" s="2"/>
      <c r="AA7" s="25"/>
      <c r="AB7" s="2"/>
      <c r="AC7" s="25"/>
      <c r="AD7" s="20"/>
      <c r="AE7" s="4"/>
      <c r="AF7" s="24"/>
      <c r="AG7" s="2"/>
      <c r="AH7" s="25"/>
      <c r="AI7" s="2"/>
      <c r="AJ7" s="25"/>
      <c r="AK7" s="2"/>
      <c r="AL7" s="25"/>
      <c r="AM7" s="2"/>
      <c r="AN7" s="25"/>
      <c r="AO7" s="2"/>
      <c r="AP7" s="25"/>
      <c r="AQ7" s="2"/>
      <c r="AR7" s="25"/>
      <c r="AS7" s="2"/>
      <c r="AT7" s="25"/>
      <c r="AU7" s="2"/>
      <c r="AV7" s="25"/>
      <c r="AW7" s="2"/>
      <c r="AX7" s="25"/>
      <c r="AY7" s="2"/>
      <c r="AZ7" s="25"/>
      <c r="BA7" s="2"/>
      <c r="BB7" s="25"/>
      <c r="BC7" s="5"/>
      <c r="BD7" s="4"/>
      <c r="BE7" s="24"/>
      <c r="BF7" s="2"/>
      <c r="BG7" s="25"/>
      <c r="BH7" s="2"/>
      <c r="BI7" s="25"/>
      <c r="BJ7" s="2"/>
      <c r="BK7" s="25"/>
      <c r="BL7" s="2"/>
      <c r="BM7" s="25"/>
      <c r="BN7" s="2"/>
      <c r="BO7" s="25"/>
      <c r="BP7" s="2"/>
      <c r="BQ7" s="25"/>
      <c r="BR7" s="2"/>
      <c r="BS7" s="25"/>
      <c r="BT7" s="2"/>
      <c r="BU7" s="25"/>
      <c r="BV7" s="2"/>
      <c r="BW7" s="25"/>
      <c r="BX7" s="2"/>
      <c r="BY7" s="25"/>
      <c r="BZ7" s="2"/>
      <c r="CA7" s="25"/>
      <c r="CB7" s="2"/>
      <c r="CC7" s="25"/>
      <c r="CD7" s="2"/>
      <c r="CE7" s="25"/>
      <c r="CF7" s="2"/>
      <c r="CG7" s="25"/>
      <c r="CH7" s="2"/>
      <c r="CI7" s="25"/>
      <c r="CJ7" s="2"/>
      <c r="CK7" s="25"/>
      <c r="CL7" s="2"/>
      <c r="CM7" s="25"/>
      <c r="CN7" s="20"/>
      <c r="CO7" s="4"/>
    </row>
    <row r="8" spans="1:93" x14ac:dyDescent="0.3">
      <c r="B8" s="1"/>
      <c r="C8" s="1"/>
      <c r="D8" s="1"/>
      <c r="E8" s="24"/>
      <c r="F8" s="2"/>
      <c r="G8" s="25"/>
      <c r="H8" s="2"/>
      <c r="I8" s="25"/>
      <c r="J8" s="2"/>
      <c r="K8" s="25"/>
      <c r="L8" s="2"/>
      <c r="M8" s="25"/>
      <c r="N8" s="2"/>
      <c r="O8" s="25"/>
      <c r="P8" s="2"/>
      <c r="Q8" s="25"/>
      <c r="R8" s="2"/>
      <c r="S8" s="25"/>
      <c r="T8" s="2"/>
      <c r="U8" s="25"/>
      <c r="V8" s="2"/>
      <c r="W8" s="25"/>
      <c r="X8" s="2"/>
      <c r="Y8" s="25"/>
      <c r="Z8" s="2"/>
      <c r="AA8" s="25"/>
      <c r="AB8" s="2"/>
      <c r="AC8" s="25"/>
      <c r="AD8" s="20"/>
      <c r="AE8" s="4"/>
      <c r="AF8" s="24"/>
      <c r="AG8" s="2"/>
      <c r="AH8" s="25"/>
      <c r="AI8" s="2"/>
      <c r="AJ8" s="25"/>
      <c r="AK8" s="2"/>
      <c r="AL8" s="25"/>
      <c r="AM8" s="2"/>
      <c r="AN8" s="25"/>
      <c r="AO8" s="2"/>
      <c r="AP8" s="25"/>
      <c r="AQ8" s="2"/>
      <c r="AR8" s="25"/>
      <c r="AS8" s="2"/>
      <c r="AT8" s="25"/>
      <c r="AU8" s="2"/>
      <c r="AV8" s="25"/>
      <c r="AW8" s="2"/>
      <c r="AX8" s="25"/>
      <c r="AY8" s="2"/>
      <c r="AZ8" s="25"/>
      <c r="BA8" s="2"/>
      <c r="BB8" s="25"/>
      <c r="BC8" s="5"/>
      <c r="BD8" s="4"/>
      <c r="BE8" s="24"/>
      <c r="BF8" s="2"/>
      <c r="BG8" s="25"/>
      <c r="BH8" s="2"/>
      <c r="BI8" s="25"/>
      <c r="BJ8" s="2"/>
      <c r="BK8" s="25"/>
      <c r="BL8" s="2"/>
      <c r="BM8" s="25"/>
      <c r="BN8" s="2"/>
      <c r="BO8" s="25"/>
      <c r="BP8" s="2"/>
      <c r="BQ8" s="25"/>
      <c r="BR8" s="2"/>
      <c r="BS8" s="25"/>
      <c r="BT8" s="2"/>
      <c r="BU8" s="25"/>
      <c r="BV8" s="2"/>
      <c r="BW8" s="25"/>
      <c r="BX8" s="2"/>
      <c r="BY8" s="25"/>
      <c r="BZ8" s="2"/>
      <c r="CA8" s="25"/>
      <c r="CB8" s="2"/>
      <c r="CC8" s="25"/>
      <c r="CD8" s="2"/>
      <c r="CE8" s="25"/>
      <c r="CF8" s="2"/>
      <c r="CG8" s="25"/>
      <c r="CH8" s="2"/>
      <c r="CI8" s="25"/>
      <c r="CJ8" s="2"/>
      <c r="CK8" s="25"/>
      <c r="CL8" s="2"/>
      <c r="CM8" s="25"/>
      <c r="CN8" s="20"/>
      <c r="CO8" s="4"/>
    </row>
    <row r="9" spans="1:93" x14ac:dyDescent="0.3">
      <c r="A9" s="55" t="s">
        <v>52</v>
      </c>
      <c r="B9" s="56">
        <f>SUM(AE9,BD9,CO9)</f>
        <v>7</v>
      </c>
      <c r="C9" s="1">
        <v>16</v>
      </c>
      <c r="D9" s="1">
        <f>C9-B9</f>
        <v>9</v>
      </c>
      <c r="E9" s="24">
        <f>IF('Area de produção'!B3="Sim",2,0)</f>
        <v>0</v>
      </c>
      <c r="F9" s="2"/>
      <c r="G9" s="25">
        <f>IF('Area de produção'!B5="Sim",2,0)</f>
        <v>0</v>
      </c>
      <c r="H9" s="2"/>
      <c r="I9" s="25">
        <f>IF('Area de produção'!B7="Sim",2,0)</f>
        <v>2</v>
      </c>
      <c r="J9" s="2"/>
      <c r="K9" s="25"/>
      <c r="L9" s="2"/>
      <c r="M9" s="25">
        <f>IF('Area de produção'!B12="Sim",1,0)</f>
        <v>1</v>
      </c>
      <c r="N9" s="2"/>
      <c r="O9" s="25"/>
      <c r="P9" s="2"/>
      <c r="Q9" s="25">
        <f>IF('Area de produção'!B16="Sim",1,0)</f>
        <v>0</v>
      </c>
      <c r="R9" s="2"/>
      <c r="S9" s="25">
        <f>IF('Area de produção'!B18="Sim",1,0)</f>
        <v>1</v>
      </c>
      <c r="T9" s="2"/>
      <c r="U9" s="25">
        <f>IF('Area de produção'!B21="Sim",1,0)</f>
        <v>0</v>
      </c>
      <c r="V9" s="2"/>
      <c r="W9" s="25"/>
      <c r="X9" s="2"/>
      <c r="Y9" s="25">
        <f>IF('Area de produção'!B25="Sim",1,0)</f>
        <v>1</v>
      </c>
      <c r="Z9" s="2"/>
      <c r="AA9" s="25"/>
      <c r="AB9" s="2"/>
      <c r="AC9" s="25">
        <f>IF('Area de produção'!B29="Sim",1,0)</f>
        <v>1</v>
      </c>
      <c r="AD9" s="20"/>
      <c r="AE9" s="4">
        <f t="shared" si="1"/>
        <v>6</v>
      </c>
      <c r="AF9" s="24"/>
      <c r="AG9" s="2"/>
      <c r="AH9" s="25">
        <f>IF('Pequena area não produtiva'!B6="Sim",1,0)</f>
        <v>0</v>
      </c>
      <c r="AI9" s="2"/>
      <c r="AJ9" s="25">
        <f>IF('Pequena area não produtiva'!B9="Sim",1,0)</f>
        <v>1</v>
      </c>
      <c r="AK9" s="2"/>
      <c r="AL9" s="25">
        <f>IF('Pequena area não produtiva'!B11="Sim",1,0)</f>
        <v>0</v>
      </c>
      <c r="AM9" s="2"/>
      <c r="AN9" s="25">
        <f>IF('Pequena area não produtiva'!B13="Sim",1,0)</f>
        <v>0</v>
      </c>
      <c r="AO9" s="2"/>
      <c r="AP9" s="25"/>
      <c r="AQ9" s="2"/>
      <c r="AR9" s="25"/>
      <c r="AS9" s="2"/>
      <c r="AT9" s="25"/>
      <c r="AU9" s="2"/>
      <c r="AV9" s="25"/>
      <c r="AW9" s="2"/>
      <c r="AX9" s="25"/>
      <c r="AY9" s="2"/>
      <c r="AZ9" s="25"/>
      <c r="BA9" s="2"/>
      <c r="BB9" s="25"/>
      <c r="BC9" s="5"/>
      <c r="BD9" s="4">
        <f t="shared" si="2"/>
        <v>1</v>
      </c>
      <c r="BE9" s="24"/>
      <c r="BF9" s="2"/>
      <c r="BG9" s="25"/>
      <c r="BH9" s="2"/>
      <c r="BI9" s="25"/>
      <c r="BJ9" s="2"/>
      <c r="BK9" s="25"/>
      <c r="BL9" s="2"/>
      <c r="BM9" s="25"/>
      <c r="BN9" s="2"/>
      <c r="BO9" s="25"/>
      <c r="BP9" s="2"/>
      <c r="BQ9" s="25"/>
      <c r="BR9" s="2"/>
      <c r="BS9" s="25"/>
      <c r="BT9" s="2"/>
      <c r="BU9" s="25"/>
      <c r="BV9" s="2"/>
      <c r="BW9" s="25"/>
      <c r="BX9" s="2"/>
      <c r="BY9" s="25"/>
      <c r="BZ9" s="2"/>
      <c r="CA9" s="25"/>
      <c r="CB9" s="2"/>
      <c r="CC9" s="25"/>
      <c r="CD9" s="2"/>
      <c r="CE9" s="25"/>
      <c r="CF9" s="2"/>
      <c r="CG9" s="25"/>
      <c r="CH9" s="2"/>
      <c r="CI9" s="25"/>
      <c r="CJ9" s="2"/>
      <c r="CK9" s="25"/>
      <c r="CL9" s="2"/>
      <c r="CM9" s="25"/>
      <c r="CN9" s="20"/>
      <c r="CO9" s="4">
        <f t="shared" si="3"/>
        <v>0</v>
      </c>
    </row>
    <row r="10" spans="1:93" x14ac:dyDescent="0.3">
      <c r="A10" s="55" t="s">
        <v>53</v>
      </c>
      <c r="B10" s="56">
        <f>SUM(AE10,BD10,CO10)</f>
        <v>13</v>
      </c>
      <c r="C10" s="1">
        <v>18</v>
      </c>
      <c r="D10" s="1">
        <f t="shared" ref="D10:D18" si="4">C10-B10</f>
        <v>5</v>
      </c>
      <c r="E10" s="24"/>
      <c r="F10" s="2"/>
      <c r="G10" s="25"/>
      <c r="H10" s="2"/>
      <c r="I10" s="25"/>
      <c r="J10" s="2"/>
      <c r="K10" s="25"/>
      <c r="L10" s="2"/>
      <c r="M10" s="25"/>
      <c r="N10" s="2"/>
      <c r="O10" s="25"/>
      <c r="P10" s="2"/>
      <c r="Q10" s="25"/>
      <c r="R10" s="2"/>
      <c r="S10" s="25"/>
      <c r="T10" s="2"/>
      <c r="U10" s="25">
        <f>IF('Area de produção'!B21="Sim",1,0)</f>
        <v>0</v>
      </c>
      <c r="V10" s="2"/>
      <c r="W10" s="25"/>
      <c r="X10" s="2"/>
      <c r="Y10" s="25"/>
      <c r="Z10" s="2"/>
      <c r="AA10" s="25">
        <f>IF('Area de produção'!B27="Sim",1,0)</f>
        <v>1</v>
      </c>
      <c r="AB10" s="2"/>
      <c r="AC10" s="25"/>
      <c r="AD10" s="20"/>
      <c r="AE10" s="4">
        <f t="shared" si="1"/>
        <v>1</v>
      </c>
      <c r="AF10" s="24"/>
      <c r="AG10" s="2"/>
      <c r="AH10" s="25"/>
      <c r="AI10" s="2"/>
      <c r="AJ10" s="25"/>
      <c r="AK10" s="2"/>
      <c r="AL10" s="25"/>
      <c r="AM10" s="2"/>
      <c r="AN10" s="25"/>
      <c r="AO10" s="2"/>
      <c r="AP10" s="25"/>
      <c r="AQ10" s="2"/>
      <c r="AR10" s="25"/>
      <c r="AS10" s="2"/>
      <c r="AT10" s="25">
        <f>IF('Pequena area não produtiva'!B20="Sim",2,0)</f>
        <v>2</v>
      </c>
      <c r="AU10" s="2"/>
      <c r="AV10" s="25">
        <f>IF('Pequena area não produtiva'!B23="Sim",2,0)</f>
        <v>2</v>
      </c>
      <c r="AW10" s="2"/>
      <c r="AX10" s="25">
        <f>IF('Pequena area não produtiva'!B25="Sim",2,0)</f>
        <v>2</v>
      </c>
      <c r="AY10" s="2"/>
      <c r="AZ10" s="25">
        <f>IF('Pequena area não produtiva'!B27="Sim",2,0)</f>
        <v>2</v>
      </c>
      <c r="BA10" s="2"/>
      <c r="BB10" s="25">
        <f>IF('Pequena area não produtiva'!B29="Sim",2,0)</f>
        <v>0</v>
      </c>
      <c r="BC10" s="5"/>
      <c r="BD10" s="4">
        <f t="shared" si="2"/>
        <v>8</v>
      </c>
      <c r="BE10" s="24"/>
      <c r="BF10" s="2"/>
      <c r="BG10" s="25"/>
      <c r="BH10" s="2"/>
      <c r="BI10" s="25"/>
      <c r="BJ10" s="2"/>
      <c r="BK10" s="25"/>
      <c r="BL10" s="2"/>
      <c r="BM10" s="25">
        <f>IF('Grande area não produtiva'!B12="Sim",2,0)</f>
        <v>2</v>
      </c>
      <c r="BN10" s="2"/>
      <c r="BO10" s="25">
        <f>IF('Grande area não produtiva'!B15="Sim",2,0)</f>
        <v>0</v>
      </c>
      <c r="BP10" s="2"/>
      <c r="BQ10" s="25">
        <f>IF('Grande area não produtiva'!B17="Sim",2,0)</f>
        <v>2</v>
      </c>
      <c r="BR10" s="2"/>
      <c r="BS10" s="25"/>
      <c r="BT10" s="2"/>
      <c r="BU10" s="25"/>
      <c r="BV10" s="2"/>
      <c r="BW10" s="25"/>
      <c r="BX10" s="2"/>
      <c r="BY10" s="25"/>
      <c r="BZ10" s="2"/>
      <c r="CA10" s="25"/>
      <c r="CB10" s="2"/>
      <c r="CC10" s="25"/>
      <c r="CD10" s="2"/>
      <c r="CE10" s="25"/>
      <c r="CF10" s="2"/>
      <c r="CG10" s="25"/>
      <c r="CH10" s="2"/>
      <c r="CI10" s="25"/>
      <c r="CJ10" s="2"/>
      <c r="CK10" s="25"/>
      <c r="CL10" s="2"/>
      <c r="CM10" s="25"/>
      <c r="CN10" s="20"/>
      <c r="CO10" s="4">
        <f t="shared" si="3"/>
        <v>4</v>
      </c>
    </row>
    <row r="11" spans="1:93" x14ac:dyDescent="0.3">
      <c r="A11" s="55" t="s">
        <v>54</v>
      </c>
      <c r="B11" s="56">
        <f t="shared" ref="B11:B18" si="5">SUM(AE11,BD11,CO11)</f>
        <v>25</v>
      </c>
      <c r="C11" s="1">
        <v>41</v>
      </c>
      <c r="D11" s="1">
        <f t="shared" si="4"/>
        <v>16</v>
      </c>
      <c r="E11" s="24">
        <f>IF('Area de produção'!B3="Sim",1,0)</f>
        <v>0</v>
      </c>
      <c r="F11" s="2"/>
      <c r="G11" s="25"/>
      <c r="H11" s="2"/>
      <c r="I11" s="25">
        <f>IF('Area de produção'!B7="Sim",2,0)</f>
        <v>2</v>
      </c>
      <c r="J11" s="2"/>
      <c r="K11" s="25">
        <f>IF('Area de produção'!B10="Sim",2,0)</f>
        <v>0</v>
      </c>
      <c r="L11" s="2"/>
      <c r="M11" s="25">
        <f>IF('Area de produção'!B12="Sim",2,0)</f>
        <v>2</v>
      </c>
      <c r="N11" s="2"/>
      <c r="O11" s="25">
        <f>IF('Area de produção'!B14="Sim",1,0)</f>
        <v>0</v>
      </c>
      <c r="P11" s="2"/>
      <c r="Q11" s="25"/>
      <c r="R11" s="2"/>
      <c r="S11" s="25"/>
      <c r="T11" s="2"/>
      <c r="U11" s="25">
        <f>IF('Area de produção'!B21="Sim",1,0)</f>
        <v>0</v>
      </c>
      <c r="V11" s="2"/>
      <c r="W11" s="25"/>
      <c r="X11" s="2"/>
      <c r="Y11" s="25">
        <f>IF('Area de produção'!B25="Sim",1,0)</f>
        <v>1</v>
      </c>
      <c r="Z11" s="2"/>
      <c r="AA11" s="25"/>
      <c r="AB11" s="2"/>
      <c r="AC11" s="25"/>
      <c r="AD11" s="20"/>
      <c r="AE11" s="4">
        <f t="shared" si="1"/>
        <v>5</v>
      </c>
      <c r="AF11" s="24">
        <f>IF('Pequena area não produtiva'!B4="Sim",1,0)</f>
        <v>1</v>
      </c>
      <c r="AG11" s="2"/>
      <c r="AH11" s="25">
        <f>IF('Pequena area não produtiva'!B6="Sim",2,0)</f>
        <v>0</v>
      </c>
      <c r="AI11" s="2"/>
      <c r="AJ11" s="25">
        <f>IF('Pequena area não produtiva'!B9="Sim",1,0)</f>
        <v>1</v>
      </c>
      <c r="AK11" s="2"/>
      <c r="AL11" s="25"/>
      <c r="AM11" s="2"/>
      <c r="AN11" s="25">
        <f>IF('Pequena area não produtiva'!B13="Sim",2,0)</f>
        <v>0</v>
      </c>
      <c r="AO11" s="2"/>
      <c r="AP11" s="25">
        <f>IF('Pequena area não produtiva'!B16="Sim",1,0)</f>
        <v>1</v>
      </c>
      <c r="AQ11" s="2"/>
      <c r="AR11" s="25">
        <f>IF('Pequena area não produtiva'!B18="Sim",1,0)</f>
        <v>0</v>
      </c>
      <c r="AS11" s="2"/>
      <c r="AT11" s="25"/>
      <c r="AU11" s="2"/>
      <c r="AV11" s="25"/>
      <c r="AW11" s="2"/>
      <c r="AX11" s="25"/>
      <c r="AY11" s="2"/>
      <c r="AZ11" s="25">
        <f>IF('Pequena area não produtiva'!B27="Sim",1,0)</f>
        <v>1</v>
      </c>
      <c r="BA11" s="2"/>
      <c r="BB11" s="25">
        <f>IF('Pequena area não produtiva'!B29="Sim",1,0)</f>
        <v>0</v>
      </c>
      <c r="BC11" s="5"/>
      <c r="BD11" s="4">
        <f t="shared" si="2"/>
        <v>4</v>
      </c>
      <c r="BE11" s="24">
        <f>IF('Grande area não produtiva'!B3="Sim",2,0)</f>
        <v>0</v>
      </c>
      <c r="BF11" s="2"/>
      <c r="BG11" s="25">
        <f>IF('Grande area não produtiva'!B6="Sim",1,0)</f>
        <v>1</v>
      </c>
      <c r="BH11" s="2"/>
      <c r="BI11" s="25">
        <f>IF('Grande area não produtiva'!B8="Sim",1,0)</f>
        <v>1</v>
      </c>
      <c r="BJ11" s="2"/>
      <c r="BK11" s="25"/>
      <c r="BL11" s="2"/>
      <c r="BM11" s="25">
        <f>IF('Grande area não produtiva'!B12="Sim",1,0)</f>
        <v>1</v>
      </c>
      <c r="BN11" s="2"/>
      <c r="BO11" s="25">
        <f>IF('Grande area não produtiva'!B15="Sim",1,0)</f>
        <v>0</v>
      </c>
      <c r="BP11" s="2"/>
      <c r="BQ11" s="25">
        <f>IF('Grande area não produtiva'!B17="Sim",1,0)</f>
        <v>1</v>
      </c>
      <c r="BR11" s="2"/>
      <c r="BS11" s="25"/>
      <c r="BT11" s="2"/>
      <c r="BU11" s="25">
        <f>IF('Grande area não produtiva'!$B$21="Sim",2,0)</f>
        <v>2</v>
      </c>
      <c r="BV11" s="2"/>
      <c r="BW11" s="25">
        <f>IF('Grande area não produtiva'!$B$24="Sim",2,0)</f>
        <v>2</v>
      </c>
      <c r="BX11" s="2"/>
      <c r="BY11" s="25">
        <f>IF('Grande area não produtiva'!$B$26="Sim",2,0)</f>
        <v>2</v>
      </c>
      <c r="BZ11" s="2"/>
      <c r="CA11" s="25"/>
      <c r="CB11" s="2"/>
      <c r="CC11" s="25">
        <f>IF('Grande area não produtiva'!$B$30="Sim",1,0)</f>
        <v>0</v>
      </c>
      <c r="CD11" s="2"/>
      <c r="CE11" s="25">
        <f>IF('Grande area não produtiva'!$B$32="Sim",2,0)</f>
        <v>2</v>
      </c>
      <c r="CF11" s="2"/>
      <c r="CG11" s="25">
        <f>IF('Grande area não produtiva'!$B$35="Sim",1,0)</f>
        <v>1</v>
      </c>
      <c r="CH11" s="2"/>
      <c r="CI11" s="25">
        <f>IF('Grande area não produtiva'!$B$37="Sim",2,0)</f>
        <v>2</v>
      </c>
      <c r="CJ11" s="2"/>
      <c r="CK11" s="25">
        <f>IF('Grande area não produtiva'!$B$39="Sim",1,0)</f>
        <v>1</v>
      </c>
      <c r="CL11" s="2"/>
      <c r="CM11" s="25">
        <f>IF('Grande area não produtiva'!$B$41="Sim",1,0)</f>
        <v>0</v>
      </c>
      <c r="CN11" s="20"/>
      <c r="CO11" s="4">
        <f t="shared" si="3"/>
        <v>16</v>
      </c>
    </row>
    <row r="12" spans="1:93" x14ac:dyDescent="0.3">
      <c r="A12" s="55" t="s">
        <v>55</v>
      </c>
      <c r="B12" s="56">
        <f t="shared" si="5"/>
        <v>29</v>
      </c>
      <c r="C12" s="1">
        <v>42</v>
      </c>
      <c r="D12" s="1">
        <f t="shared" si="4"/>
        <v>13</v>
      </c>
      <c r="E12" s="24"/>
      <c r="F12" s="2"/>
      <c r="G12" s="25"/>
      <c r="H12" s="2"/>
      <c r="I12" s="25">
        <f>IF('Area de produção'!B7="Sim",1,0)</f>
        <v>1</v>
      </c>
      <c r="J12" s="2"/>
      <c r="K12" s="25">
        <f>IF('Area de produção'!B10="Sim",1,0)</f>
        <v>0</v>
      </c>
      <c r="L12" s="2"/>
      <c r="M12" s="25">
        <f>IF('Area de produção'!B12="Sim",1,0)</f>
        <v>1</v>
      </c>
      <c r="N12" s="2"/>
      <c r="O12" s="25"/>
      <c r="P12" s="2"/>
      <c r="Q12" s="25"/>
      <c r="R12" s="2"/>
      <c r="S12" s="25"/>
      <c r="T12" s="2"/>
      <c r="U12" s="25">
        <f>IF('Area de produção'!B21="Sim",1,0)</f>
        <v>0</v>
      </c>
      <c r="V12" s="2"/>
      <c r="W12" s="25">
        <f>IF('Area de produção'!B23="Sim",2,0)</f>
        <v>0</v>
      </c>
      <c r="X12" s="2"/>
      <c r="Y12" s="25">
        <f>IF('Area de produção'!B25="Sim",2,0)</f>
        <v>2</v>
      </c>
      <c r="Z12" s="2"/>
      <c r="AA12" s="25">
        <f>IF('Area de produção'!B27="Sim",1,0)</f>
        <v>1</v>
      </c>
      <c r="AB12" s="2"/>
      <c r="AC12" s="25">
        <f>IF('Area de produção'!B29="Sim",2,0)</f>
        <v>2</v>
      </c>
      <c r="AD12" s="20"/>
      <c r="AE12" s="4">
        <f t="shared" si="1"/>
        <v>7</v>
      </c>
      <c r="AF12" s="24">
        <f>IF('Pequena area não produtiva'!B4="Sim",1,0)</f>
        <v>1</v>
      </c>
      <c r="AG12" s="2"/>
      <c r="AH12" s="25">
        <f>IF('Pequena area não produtiva'!B6="Sim",1,0)</f>
        <v>0</v>
      </c>
      <c r="AI12" s="2"/>
      <c r="AJ12" s="25">
        <f>IF('Pequena area não produtiva'!B9="Sim",1,0)</f>
        <v>1</v>
      </c>
      <c r="AK12" s="2"/>
      <c r="AL12" s="25"/>
      <c r="AM12" s="2"/>
      <c r="AN12" s="25">
        <f>IF('Pequena area não produtiva'!B13="Sim",2,0)</f>
        <v>0</v>
      </c>
      <c r="AO12" s="2"/>
      <c r="AP12" s="25">
        <f>IF('Pequena area não produtiva'!B16="Sim",1,0)</f>
        <v>1</v>
      </c>
      <c r="AQ12" s="2"/>
      <c r="AR12" s="25">
        <f>IF('Pequena area não produtiva'!B18="Sim",1,0)</f>
        <v>0</v>
      </c>
      <c r="AS12" s="2"/>
      <c r="AT12" s="25"/>
      <c r="AU12" s="2"/>
      <c r="AV12" s="25"/>
      <c r="AW12" s="2"/>
      <c r="AX12" s="25"/>
      <c r="AY12" s="2"/>
      <c r="AZ12" s="25">
        <f>IF('Pequena area não produtiva'!B27="Sim",1,0)</f>
        <v>1</v>
      </c>
      <c r="BA12" s="2"/>
      <c r="BB12" s="25"/>
      <c r="BC12" s="5"/>
      <c r="BD12" s="4">
        <f t="shared" si="2"/>
        <v>4</v>
      </c>
      <c r="BE12" s="24">
        <f>IF('Grande area não produtiva'!B3="Sim",2,0)</f>
        <v>0</v>
      </c>
      <c r="BF12" s="2"/>
      <c r="BG12" s="25">
        <f>IF('Grande area não produtiva'!B6="Sim",2,0)</f>
        <v>2</v>
      </c>
      <c r="BH12" s="2"/>
      <c r="BI12" s="25">
        <f>IF('Grande area não produtiva'!B8="Sim",2,0)</f>
        <v>2</v>
      </c>
      <c r="BJ12" s="2"/>
      <c r="BK12" s="25">
        <f>IF('Grande area não produtiva'!B10="Sim",1,0)</f>
        <v>1</v>
      </c>
      <c r="BL12" s="2"/>
      <c r="BM12" s="25">
        <f>IF('Grande area não produtiva'!B12="Sim",1,0)</f>
        <v>1</v>
      </c>
      <c r="BN12" s="2"/>
      <c r="BO12" s="25">
        <f>IF('Grande area não produtiva'!B15="Sim",1,0)</f>
        <v>0</v>
      </c>
      <c r="BP12" s="2"/>
      <c r="BQ12" s="25">
        <f>IF('Grande area não produtiva'!B17="Sim",1,0)</f>
        <v>1</v>
      </c>
      <c r="BR12" s="2"/>
      <c r="BS12" s="25"/>
      <c r="BT12" s="2"/>
      <c r="BU12" s="25">
        <f>IF('Grande area não produtiva'!$B$21="Sim",2,0)</f>
        <v>2</v>
      </c>
      <c r="BV12" s="2"/>
      <c r="BW12" s="25">
        <f>IF('Grande area não produtiva'!$B$24="Sim",2,0)</f>
        <v>2</v>
      </c>
      <c r="BX12" s="2"/>
      <c r="BY12" s="25">
        <f>IF('Grande area não produtiva'!$B$26="Sim",2,0)</f>
        <v>2</v>
      </c>
      <c r="BZ12" s="2"/>
      <c r="CA12" s="25">
        <f>IF('Grande area não produtiva'!$B$28="Sim",1,0)</f>
        <v>1</v>
      </c>
      <c r="CB12" s="2"/>
      <c r="CC12" s="25">
        <f>IF('Grande area não produtiva'!$B$30="Sim",1,0)</f>
        <v>0</v>
      </c>
      <c r="CD12" s="2"/>
      <c r="CE12" s="25">
        <f>IF('Grande area não produtiva'!$B$32="Sim",2,0)</f>
        <v>2</v>
      </c>
      <c r="CF12" s="2"/>
      <c r="CG12" s="25"/>
      <c r="CH12" s="2"/>
      <c r="CI12" s="25">
        <f>IF('Grande area não produtiva'!$B$37="Sim",1,0)</f>
        <v>1</v>
      </c>
      <c r="CJ12" s="2"/>
      <c r="CK12" s="25">
        <f>IF('Grande area não produtiva'!$B$39="Sim",1,0)</f>
        <v>1</v>
      </c>
      <c r="CL12" s="2"/>
      <c r="CM12" s="25">
        <f>IF('Grande area não produtiva'!$B$41="Sim",1,0)</f>
        <v>0</v>
      </c>
      <c r="CN12" s="20"/>
      <c r="CO12" s="4">
        <f t="shared" si="3"/>
        <v>18</v>
      </c>
    </row>
    <row r="13" spans="1:93" x14ac:dyDescent="0.3">
      <c r="A13" s="55" t="s">
        <v>56</v>
      </c>
      <c r="B13" s="56">
        <f t="shared" si="5"/>
        <v>7</v>
      </c>
      <c r="C13" s="1">
        <v>10</v>
      </c>
      <c r="D13" s="1">
        <f t="shared" si="4"/>
        <v>3</v>
      </c>
      <c r="E13" s="24"/>
      <c r="F13" s="2"/>
      <c r="G13" s="25"/>
      <c r="H13" s="2"/>
      <c r="I13" s="25">
        <f>IF('Area de produção'!B7="Sim",1,0)</f>
        <v>1</v>
      </c>
      <c r="J13" s="2"/>
      <c r="K13" s="25"/>
      <c r="L13" s="2"/>
      <c r="M13" s="25"/>
      <c r="N13" s="2"/>
      <c r="O13" s="25"/>
      <c r="P13" s="2"/>
      <c r="Q13" s="25"/>
      <c r="R13" s="2"/>
      <c r="S13" s="25"/>
      <c r="T13" s="2"/>
      <c r="U13" s="25"/>
      <c r="V13" s="2"/>
      <c r="W13" s="25"/>
      <c r="X13" s="2"/>
      <c r="Y13" s="25"/>
      <c r="Z13" s="2"/>
      <c r="AA13" s="25"/>
      <c r="AB13" s="2"/>
      <c r="AC13" s="25"/>
      <c r="AD13" s="20"/>
      <c r="AE13" s="4">
        <f t="shared" si="1"/>
        <v>1</v>
      </c>
      <c r="AF13" s="24">
        <f>IF('Pequena area não produtiva'!B4="Sim",1,0)</f>
        <v>1</v>
      </c>
      <c r="AG13" s="2"/>
      <c r="AH13" s="25">
        <f>IF('Pequena area não produtiva'!B6="Sim",1,0)</f>
        <v>0</v>
      </c>
      <c r="AI13" s="2"/>
      <c r="AJ13" s="25"/>
      <c r="AK13" s="2"/>
      <c r="AL13" s="25"/>
      <c r="AM13" s="2"/>
      <c r="AN13" s="25">
        <f>IF('Pequena area não produtiva'!B13="Sim",1,0)</f>
        <v>0</v>
      </c>
      <c r="AO13" s="2"/>
      <c r="AP13" s="25"/>
      <c r="AQ13" s="2"/>
      <c r="AR13" s="25"/>
      <c r="AS13" s="2"/>
      <c r="AT13" s="25"/>
      <c r="AU13" s="2"/>
      <c r="AV13" s="25"/>
      <c r="AW13" s="2"/>
      <c r="AX13" s="25"/>
      <c r="AY13" s="2"/>
      <c r="AZ13" s="25"/>
      <c r="BA13" s="2"/>
      <c r="BB13" s="25"/>
      <c r="BC13" s="5"/>
      <c r="BD13" s="4">
        <f t="shared" si="2"/>
        <v>1</v>
      </c>
      <c r="BE13" s="24">
        <f>IF('Grande area não produtiva'!B3="Sim",1,0)</f>
        <v>0</v>
      </c>
      <c r="BF13" s="2"/>
      <c r="BG13" s="25">
        <f>IF('Grande area não produtiva'!B6="Sim",1,0)</f>
        <v>1</v>
      </c>
      <c r="BH13" s="2"/>
      <c r="BI13" s="25">
        <f>IF('Grande area não produtiva'!B8="Sim",1,0)</f>
        <v>1</v>
      </c>
      <c r="BJ13" s="2"/>
      <c r="BK13" s="25"/>
      <c r="BL13" s="2"/>
      <c r="BM13" s="25"/>
      <c r="BN13" s="2"/>
      <c r="BO13" s="25"/>
      <c r="BP13" s="2"/>
      <c r="BQ13" s="25"/>
      <c r="BR13" s="2"/>
      <c r="BS13" s="25"/>
      <c r="BT13" s="2"/>
      <c r="BU13" s="25"/>
      <c r="BV13" s="2"/>
      <c r="BW13" s="25"/>
      <c r="BX13" s="2"/>
      <c r="BY13" s="25"/>
      <c r="BZ13" s="2"/>
      <c r="CA13" s="25"/>
      <c r="CB13" s="2"/>
      <c r="CC13" s="25"/>
      <c r="CD13" s="2"/>
      <c r="CE13" s="25"/>
      <c r="CF13" s="2"/>
      <c r="CG13" s="25">
        <f>IF('Grande area não produtiva'!$B$35="Sim",1,0)</f>
        <v>1</v>
      </c>
      <c r="CH13" s="2"/>
      <c r="CI13" s="25">
        <f>IF('Grande area não produtiva'!$B$37="Sim",1,0)</f>
        <v>1</v>
      </c>
      <c r="CJ13" s="2"/>
      <c r="CK13" s="25">
        <f>IF('Grande area não produtiva'!$B$39="Sim",1,0)</f>
        <v>1</v>
      </c>
      <c r="CL13" s="2"/>
      <c r="CM13" s="25"/>
      <c r="CN13" s="20"/>
      <c r="CO13" s="4">
        <f t="shared" si="3"/>
        <v>5</v>
      </c>
    </row>
    <row r="14" spans="1:93" x14ac:dyDescent="0.3">
      <c r="A14" s="55" t="s">
        <v>57</v>
      </c>
      <c r="B14" s="56">
        <f t="shared" si="5"/>
        <v>12</v>
      </c>
      <c r="C14" s="1">
        <v>16</v>
      </c>
      <c r="D14" s="1">
        <f t="shared" si="4"/>
        <v>4</v>
      </c>
      <c r="E14" s="24"/>
      <c r="F14" s="2"/>
      <c r="G14" s="25"/>
      <c r="H14" s="2"/>
      <c r="I14" s="25"/>
      <c r="J14" s="2"/>
      <c r="K14" s="25"/>
      <c r="L14" s="2"/>
      <c r="M14" s="25"/>
      <c r="N14" s="2"/>
      <c r="O14" s="25"/>
      <c r="P14" s="2"/>
      <c r="Q14" s="25"/>
      <c r="R14" s="2"/>
      <c r="S14" s="25"/>
      <c r="T14" s="2"/>
      <c r="U14" s="25"/>
      <c r="V14" s="2"/>
      <c r="W14" s="25"/>
      <c r="X14" s="2"/>
      <c r="Y14" s="25"/>
      <c r="Z14" s="2"/>
      <c r="AA14" s="25"/>
      <c r="AB14" s="2"/>
      <c r="AC14" s="25"/>
      <c r="AD14" s="20"/>
      <c r="AE14" s="4">
        <f t="shared" si="1"/>
        <v>0</v>
      </c>
      <c r="AF14" s="24"/>
      <c r="AG14" s="2"/>
      <c r="AH14" s="25"/>
      <c r="AI14" s="2"/>
      <c r="AJ14" s="25"/>
      <c r="AK14" s="2"/>
      <c r="AL14" s="25"/>
      <c r="AM14" s="2"/>
      <c r="AN14" s="25"/>
      <c r="AO14" s="2"/>
      <c r="AP14" s="25"/>
      <c r="AQ14" s="2"/>
      <c r="AR14" s="25"/>
      <c r="AS14" s="2"/>
      <c r="AT14" s="25">
        <f>IF('Pequena area não produtiva'!B20="Sim",2,0)</f>
        <v>2</v>
      </c>
      <c r="AU14" s="2"/>
      <c r="AV14" s="25">
        <f>IF('Pequena area não produtiva'!B23="Sim",2,0)</f>
        <v>2</v>
      </c>
      <c r="AW14" s="2"/>
      <c r="AX14" s="25"/>
      <c r="AY14" s="2"/>
      <c r="AZ14" s="25">
        <f>IF('Pequena area não produtiva'!B27="Sim",1,0)</f>
        <v>1</v>
      </c>
      <c r="BA14" s="2"/>
      <c r="BB14" s="25">
        <f>IF('Pequena area não produtiva'!B29="Sim",1,0)</f>
        <v>0</v>
      </c>
      <c r="BC14" s="5"/>
      <c r="BD14" s="4">
        <f t="shared" si="2"/>
        <v>5</v>
      </c>
      <c r="BE14" s="24"/>
      <c r="BF14" s="2"/>
      <c r="BG14" s="25"/>
      <c r="BH14" s="2"/>
      <c r="BI14" s="25"/>
      <c r="BJ14" s="2"/>
      <c r="BK14" s="25"/>
      <c r="BL14" s="2"/>
      <c r="BM14" s="25">
        <f>IF('Grande area não produtiva'!B12="Sim",2,0)</f>
        <v>2</v>
      </c>
      <c r="BN14" s="2"/>
      <c r="BO14" s="25">
        <f>IF('Grande area não produtiva'!B15="Sim",2,0)</f>
        <v>0</v>
      </c>
      <c r="BP14" s="2"/>
      <c r="BQ14" s="25">
        <f>IF('Grande area não produtiva'!B17="Sim",2,0)</f>
        <v>2</v>
      </c>
      <c r="BR14" s="2"/>
      <c r="BS14" s="25">
        <f>IF('Grande area não produtiva'!B19="Sim",1,0)</f>
        <v>0</v>
      </c>
      <c r="BT14" s="2"/>
      <c r="BU14" s="25"/>
      <c r="BV14" s="2"/>
      <c r="BW14" s="25"/>
      <c r="BX14" s="2"/>
      <c r="BY14" s="25"/>
      <c r="BZ14" s="2"/>
      <c r="CA14" s="25"/>
      <c r="CB14" s="2"/>
      <c r="CC14" s="25"/>
      <c r="CD14" s="2"/>
      <c r="CE14" s="25"/>
      <c r="CF14" s="2"/>
      <c r="CG14" s="25"/>
      <c r="CH14" s="2"/>
      <c r="CI14" s="25">
        <f>IF('Grande area não produtiva'!$B$37="Sim",2,0)</f>
        <v>2</v>
      </c>
      <c r="CJ14" s="2"/>
      <c r="CK14" s="25">
        <f>IF('Grande area não produtiva'!$B$39="Sim",1,0)</f>
        <v>1</v>
      </c>
      <c r="CL14" s="2"/>
      <c r="CM14" s="25"/>
      <c r="CN14" s="20"/>
      <c r="CO14" s="4">
        <f t="shared" si="3"/>
        <v>7</v>
      </c>
    </row>
    <row r="15" spans="1:93" x14ac:dyDescent="0.3">
      <c r="A15" s="55" t="s">
        <v>58</v>
      </c>
      <c r="B15" s="56">
        <f t="shared" si="5"/>
        <v>15</v>
      </c>
      <c r="C15" s="1">
        <v>20</v>
      </c>
      <c r="D15" s="1">
        <f t="shared" si="4"/>
        <v>5</v>
      </c>
      <c r="E15" s="24"/>
      <c r="F15" s="2"/>
      <c r="G15" s="25"/>
      <c r="H15" s="2"/>
      <c r="I15" s="25"/>
      <c r="J15" s="2"/>
      <c r="K15" s="25"/>
      <c r="L15" s="2"/>
      <c r="M15" s="25"/>
      <c r="N15" s="2"/>
      <c r="O15" s="25"/>
      <c r="P15" s="2"/>
      <c r="Q15" s="25"/>
      <c r="R15" s="2"/>
      <c r="S15" s="25"/>
      <c r="T15" s="2"/>
      <c r="U15" s="25"/>
      <c r="V15" s="2"/>
      <c r="W15" s="25"/>
      <c r="X15" s="2"/>
      <c r="Y15" s="25"/>
      <c r="Z15" s="2"/>
      <c r="AA15" s="25"/>
      <c r="AB15" s="2"/>
      <c r="AC15" s="25"/>
      <c r="AD15" s="20"/>
      <c r="AE15" s="4">
        <f t="shared" si="1"/>
        <v>0</v>
      </c>
      <c r="AF15" s="24"/>
      <c r="AG15" s="2"/>
      <c r="AH15" s="25"/>
      <c r="AI15" s="2"/>
      <c r="AJ15" s="25"/>
      <c r="AK15" s="2"/>
      <c r="AL15" s="25"/>
      <c r="AM15" s="2"/>
      <c r="AN15" s="25">
        <f>IF('Pequena area não produtiva'!B13="Sim",1,0)</f>
        <v>0</v>
      </c>
      <c r="AO15" s="2"/>
      <c r="AP15" s="25">
        <f>IF('Pequena area não produtiva'!B16="Sim",1,0)</f>
        <v>1</v>
      </c>
      <c r="AQ15" s="2"/>
      <c r="AR15" s="25">
        <f>IF('Pequena area não produtiva'!B18="Sim",1,0)</f>
        <v>0</v>
      </c>
      <c r="AS15" s="2"/>
      <c r="AT15" s="25"/>
      <c r="AU15" s="2"/>
      <c r="AV15" s="25"/>
      <c r="AW15" s="2"/>
      <c r="AX15" s="25"/>
      <c r="AY15" s="2"/>
      <c r="AZ15" s="25"/>
      <c r="BA15" s="2"/>
      <c r="BB15" s="25"/>
      <c r="BC15" s="5"/>
      <c r="BD15" s="4">
        <f t="shared" si="2"/>
        <v>1</v>
      </c>
      <c r="BE15" s="24"/>
      <c r="BF15" s="2"/>
      <c r="BG15" s="25"/>
      <c r="BH15" s="2"/>
      <c r="BI15" s="25"/>
      <c r="BJ15" s="2"/>
      <c r="BK15" s="25"/>
      <c r="BL15" s="2"/>
      <c r="BM15" s="25"/>
      <c r="BN15" s="2"/>
      <c r="BO15" s="25"/>
      <c r="BP15" s="2"/>
      <c r="BQ15" s="25"/>
      <c r="BR15" s="2"/>
      <c r="BS15" s="25"/>
      <c r="BT15" s="2"/>
      <c r="BU15" s="25">
        <f>IF('Grande area não produtiva'!$B$21="Sim",2,0)</f>
        <v>2</v>
      </c>
      <c r="BV15" s="2"/>
      <c r="BW15" s="25">
        <f>IF('Grande area não produtiva'!$B$24="Sim",2,0)</f>
        <v>2</v>
      </c>
      <c r="BX15" s="2"/>
      <c r="BY15" s="25">
        <f>IF('Grande area não produtiva'!$B$26="Sim",2,0)</f>
        <v>2</v>
      </c>
      <c r="BZ15" s="2"/>
      <c r="CA15" s="25">
        <f>IF('Grande area não produtiva'!$B$28="Sim",1,0)</f>
        <v>1</v>
      </c>
      <c r="CB15" s="2"/>
      <c r="CC15" s="25">
        <f>IF('Grande area não produtiva'!$B$30="Sim",2,0)</f>
        <v>0</v>
      </c>
      <c r="CD15" s="2"/>
      <c r="CE15" s="25">
        <f>IF('Grande area não produtiva'!$B$32="Sim",2,0)</f>
        <v>2</v>
      </c>
      <c r="CF15" s="2"/>
      <c r="CG15" s="25">
        <f>IF('Grande area não produtiva'!$B$35="Sim",2,0)</f>
        <v>2</v>
      </c>
      <c r="CH15" s="2"/>
      <c r="CI15" s="25">
        <f>IF('Grande area não produtiva'!$B$37="Sim",2,0)</f>
        <v>2</v>
      </c>
      <c r="CJ15" s="2"/>
      <c r="CK15" s="25">
        <f>IF('Grande area não produtiva'!$B$39="Sim",1,0)</f>
        <v>1</v>
      </c>
      <c r="CL15" s="2"/>
      <c r="CM15" s="25">
        <f>IF('Grande area não produtiva'!$B$41="Sim",1,0)</f>
        <v>0</v>
      </c>
      <c r="CN15" s="20"/>
      <c r="CO15" s="4">
        <f t="shared" si="3"/>
        <v>14</v>
      </c>
    </row>
    <row r="16" spans="1:93" x14ac:dyDescent="0.3">
      <c r="A16" s="55" t="s">
        <v>59</v>
      </c>
      <c r="B16" s="56">
        <f t="shared" si="5"/>
        <v>8</v>
      </c>
      <c r="C16" s="1">
        <v>10</v>
      </c>
      <c r="D16" s="1">
        <f t="shared" si="4"/>
        <v>2</v>
      </c>
      <c r="E16" s="24"/>
      <c r="F16" s="2"/>
      <c r="G16" s="25"/>
      <c r="H16" s="2"/>
      <c r="I16" s="25"/>
      <c r="J16" s="2"/>
      <c r="K16" s="25"/>
      <c r="L16" s="2"/>
      <c r="M16" s="25"/>
      <c r="N16" s="2"/>
      <c r="O16" s="25"/>
      <c r="P16" s="2"/>
      <c r="Q16" s="25"/>
      <c r="R16" s="2"/>
      <c r="S16" s="25"/>
      <c r="T16" s="2"/>
      <c r="U16" s="25"/>
      <c r="V16" s="2"/>
      <c r="W16" s="25"/>
      <c r="X16" s="2"/>
      <c r="Y16" s="25"/>
      <c r="Z16" s="2"/>
      <c r="AA16" s="25"/>
      <c r="AB16" s="2"/>
      <c r="AC16" s="25"/>
      <c r="AD16" s="20"/>
      <c r="AE16" s="4">
        <f t="shared" si="1"/>
        <v>0</v>
      </c>
      <c r="AF16" s="24"/>
      <c r="AG16" s="2"/>
      <c r="AH16" s="25"/>
      <c r="AI16" s="2"/>
      <c r="AJ16" s="25"/>
      <c r="AK16" s="2"/>
      <c r="AL16" s="25"/>
      <c r="AM16" s="2"/>
      <c r="AN16" s="25"/>
      <c r="AO16" s="2"/>
      <c r="AP16" s="25"/>
      <c r="AQ16" s="2"/>
      <c r="AR16" s="25"/>
      <c r="AS16" s="2"/>
      <c r="AT16" s="25"/>
      <c r="AU16" s="2"/>
      <c r="AV16" s="25"/>
      <c r="AW16" s="2"/>
      <c r="AX16" s="25"/>
      <c r="AY16" s="2"/>
      <c r="AZ16" s="25">
        <f>IF('Pequena area não produtiva'!B27="Sim",1,0)</f>
        <v>1</v>
      </c>
      <c r="BA16" s="2"/>
      <c r="BB16" s="25"/>
      <c r="BC16" s="5"/>
      <c r="BD16" s="4">
        <f t="shared" si="2"/>
        <v>1</v>
      </c>
      <c r="BE16" s="24">
        <f>IF('Grande area não produtiva'!B3="Sim",2,0)</f>
        <v>0</v>
      </c>
      <c r="BF16" s="2"/>
      <c r="BG16" s="25">
        <f>IF('Grande area não produtiva'!B6="Sim",2,0)</f>
        <v>2</v>
      </c>
      <c r="BH16" s="2"/>
      <c r="BI16" s="25">
        <f>IF('Grande area não produtiva'!B8="Sim",2,0)</f>
        <v>2</v>
      </c>
      <c r="BJ16" s="2"/>
      <c r="BK16" s="25">
        <f>IF('Grande area não produtiva'!B10="Sim",2,0)</f>
        <v>2</v>
      </c>
      <c r="BL16" s="2"/>
      <c r="BM16" s="25"/>
      <c r="BN16" s="2"/>
      <c r="BO16" s="25"/>
      <c r="BP16" s="2"/>
      <c r="BQ16" s="25"/>
      <c r="BR16" s="2"/>
      <c r="BS16" s="25"/>
      <c r="BT16" s="2"/>
      <c r="BU16" s="25"/>
      <c r="BV16" s="2"/>
      <c r="BW16" s="25"/>
      <c r="BX16" s="2"/>
      <c r="BY16" s="25"/>
      <c r="BZ16" s="2"/>
      <c r="CA16" s="25"/>
      <c r="CB16" s="2"/>
      <c r="CC16" s="25"/>
      <c r="CD16" s="2"/>
      <c r="CE16" s="25"/>
      <c r="CF16" s="2"/>
      <c r="CG16" s="25"/>
      <c r="CH16" s="2"/>
      <c r="CI16" s="25"/>
      <c r="CJ16" s="2"/>
      <c r="CK16" s="25">
        <f>IF('Grande area não produtiva'!$B$39="Sim",1,0)</f>
        <v>1</v>
      </c>
      <c r="CL16" s="2"/>
      <c r="CM16" s="25"/>
      <c r="CN16" s="20"/>
      <c r="CO16" s="4">
        <f t="shared" si="3"/>
        <v>7</v>
      </c>
    </row>
    <row r="17" spans="1:93" x14ac:dyDescent="0.3">
      <c r="A17" s="55" t="s">
        <v>60</v>
      </c>
      <c r="B17" s="56">
        <f t="shared" si="5"/>
        <v>10</v>
      </c>
      <c r="C17" s="1">
        <v>15</v>
      </c>
      <c r="D17" s="1">
        <f t="shared" si="4"/>
        <v>5</v>
      </c>
      <c r="E17" s="24"/>
      <c r="F17" s="2"/>
      <c r="G17" s="25"/>
      <c r="H17" s="2"/>
      <c r="I17" s="25"/>
      <c r="J17" s="2"/>
      <c r="K17" s="25"/>
      <c r="L17" s="2"/>
      <c r="M17" s="25"/>
      <c r="N17" s="2"/>
      <c r="O17" s="25"/>
      <c r="P17" s="2"/>
      <c r="Q17" s="25"/>
      <c r="R17" s="2"/>
      <c r="S17" s="25"/>
      <c r="T17" s="2"/>
      <c r="U17" s="25"/>
      <c r="V17" s="2"/>
      <c r="W17" s="25"/>
      <c r="X17" s="2"/>
      <c r="Y17" s="25"/>
      <c r="Z17" s="2"/>
      <c r="AA17" s="25">
        <f>IF('Area de produção'!B27="Sim",1,0)</f>
        <v>1</v>
      </c>
      <c r="AB17" s="2"/>
      <c r="AC17" s="25"/>
      <c r="AD17" s="20"/>
      <c r="AE17" s="4">
        <f t="shared" si="1"/>
        <v>1</v>
      </c>
      <c r="AF17" s="24"/>
      <c r="AG17" s="2"/>
      <c r="AH17" s="25"/>
      <c r="AI17" s="2"/>
      <c r="AJ17" s="25"/>
      <c r="AK17" s="2"/>
      <c r="AL17" s="25"/>
      <c r="AM17" s="2"/>
      <c r="AN17" s="25"/>
      <c r="AO17" s="2"/>
      <c r="AP17" s="25"/>
      <c r="AQ17" s="2"/>
      <c r="AR17" s="25"/>
      <c r="AS17" s="2"/>
      <c r="AT17" s="25">
        <f>IF('Pequena area não produtiva'!B20="Sim",1,0)</f>
        <v>1</v>
      </c>
      <c r="AU17" s="2"/>
      <c r="AV17" s="25">
        <f>IF('Pequena area não produtiva'!B23="Sim",1,0)</f>
        <v>1</v>
      </c>
      <c r="AW17" s="2"/>
      <c r="AX17" s="25"/>
      <c r="AY17" s="2"/>
      <c r="AZ17" s="25">
        <f>IF('Pequena area não produtiva'!B27="Sim",1,0)</f>
        <v>1</v>
      </c>
      <c r="BA17" s="2"/>
      <c r="BB17" s="25">
        <f>IF('Pequena area não produtiva'!B29="Sim",2,0)</f>
        <v>0</v>
      </c>
      <c r="BC17" s="5"/>
      <c r="BD17" s="4">
        <f t="shared" si="2"/>
        <v>3</v>
      </c>
      <c r="BE17" s="24"/>
      <c r="BF17" s="2"/>
      <c r="BG17" s="25"/>
      <c r="BH17" s="2"/>
      <c r="BI17" s="25"/>
      <c r="BJ17" s="2"/>
      <c r="BK17" s="25"/>
      <c r="BL17" s="2"/>
      <c r="BM17" s="25">
        <f>IF('Grande area não produtiva'!B12="Sim",2,0)</f>
        <v>2</v>
      </c>
      <c r="BN17" s="2"/>
      <c r="BO17" s="25">
        <f>IF('Grande area não produtiva'!B15="Sim",2,0)</f>
        <v>0</v>
      </c>
      <c r="BP17" s="2"/>
      <c r="BQ17" s="25">
        <f>IF('Grande area não produtiva'!B17="Sim",2,0)</f>
        <v>2</v>
      </c>
      <c r="BR17" s="2"/>
      <c r="BS17" s="25">
        <f>IF('Grande area não produtiva'!B19="Sim",1,0)</f>
        <v>0</v>
      </c>
      <c r="BT17" s="2"/>
      <c r="BU17" s="25"/>
      <c r="BV17" s="2"/>
      <c r="BW17" s="25"/>
      <c r="BX17" s="2"/>
      <c r="BY17" s="25"/>
      <c r="BZ17" s="2"/>
      <c r="CA17" s="25"/>
      <c r="CB17" s="2"/>
      <c r="CC17" s="25"/>
      <c r="CD17" s="2"/>
      <c r="CE17" s="25"/>
      <c r="CF17" s="2"/>
      <c r="CG17" s="25"/>
      <c r="CH17" s="2"/>
      <c r="CI17" s="25"/>
      <c r="CJ17" s="2"/>
      <c r="CK17" s="25">
        <f>IF('Grande area não produtiva'!$B$39="Sim",2,0)</f>
        <v>2</v>
      </c>
      <c r="CL17" s="2"/>
      <c r="CM17" s="25"/>
      <c r="CN17" s="20"/>
      <c r="CO17" s="4">
        <f t="shared" si="3"/>
        <v>6</v>
      </c>
    </row>
    <row r="18" spans="1:93" x14ac:dyDescent="0.3">
      <c r="A18" s="55" t="s">
        <v>61</v>
      </c>
      <c r="B18" s="56">
        <f t="shared" si="5"/>
        <v>14</v>
      </c>
      <c r="C18" s="1">
        <v>19</v>
      </c>
      <c r="D18" s="1">
        <f t="shared" si="4"/>
        <v>5</v>
      </c>
      <c r="E18" s="26"/>
      <c r="F18" s="27"/>
      <c r="G18" s="28"/>
      <c r="H18" s="27"/>
      <c r="I18" s="28"/>
      <c r="J18" s="27"/>
      <c r="K18" s="28"/>
      <c r="L18" s="27"/>
      <c r="M18" s="28"/>
      <c r="N18" s="27"/>
      <c r="O18" s="28"/>
      <c r="P18" s="27"/>
      <c r="Q18" s="28"/>
      <c r="R18" s="27"/>
      <c r="S18" s="28"/>
      <c r="T18" s="27"/>
      <c r="U18" s="28"/>
      <c r="V18" s="27"/>
      <c r="W18" s="28"/>
      <c r="X18" s="27"/>
      <c r="Y18" s="28"/>
      <c r="Z18" s="27"/>
      <c r="AA18" s="28"/>
      <c r="AB18" s="27"/>
      <c r="AC18" s="28"/>
      <c r="AD18" s="29"/>
      <c r="AE18" s="4">
        <f t="shared" si="1"/>
        <v>0</v>
      </c>
      <c r="AF18" s="26"/>
      <c r="AG18" s="27"/>
      <c r="AH18" s="28"/>
      <c r="AI18" s="27"/>
      <c r="AJ18" s="28"/>
      <c r="AK18" s="27"/>
      <c r="AL18" s="28"/>
      <c r="AM18" s="27"/>
      <c r="AN18" s="28">
        <f>IF('Pequena area não produtiva'!B13="Sim",1,0)</f>
        <v>0</v>
      </c>
      <c r="AO18" s="27"/>
      <c r="AP18" s="28"/>
      <c r="AQ18" s="27"/>
      <c r="AR18" s="28">
        <f>IF('Pequena area não produtiva'!B18="Sim",1,0)</f>
        <v>0</v>
      </c>
      <c r="AS18" s="27"/>
      <c r="AT18" s="28"/>
      <c r="AU18" s="27"/>
      <c r="AV18" s="28"/>
      <c r="AW18" s="27"/>
      <c r="AX18" s="28"/>
      <c r="AY18" s="27"/>
      <c r="AZ18" s="28"/>
      <c r="BA18" s="27"/>
      <c r="BB18" s="28"/>
      <c r="BC18" s="7"/>
      <c r="BD18" s="4">
        <f t="shared" si="2"/>
        <v>0</v>
      </c>
      <c r="BE18" s="26"/>
      <c r="BF18" s="27"/>
      <c r="BG18" s="28"/>
      <c r="BH18" s="27"/>
      <c r="BI18" s="28"/>
      <c r="BJ18" s="27"/>
      <c r="BK18" s="28"/>
      <c r="BL18" s="27"/>
      <c r="BM18" s="28"/>
      <c r="BN18" s="27"/>
      <c r="BO18" s="28"/>
      <c r="BP18" s="27"/>
      <c r="BQ18" s="28"/>
      <c r="BR18" s="27"/>
      <c r="BS18" s="28"/>
      <c r="BT18" s="27"/>
      <c r="BU18" s="28">
        <f>IF('Grande area não produtiva'!$B$21="Sim",2,0)</f>
        <v>2</v>
      </c>
      <c r="BV18" s="27"/>
      <c r="BW18" s="28">
        <f>IF('Grande area não produtiva'!$B$24="Sim",2,0)</f>
        <v>2</v>
      </c>
      <c r="BX18" s="27"/>
      <c r="BY18" s="28">
        <f>IF('Grande area não produtiva'!$B$26="Sim",2,0)</f>
        <v>2</v>
      </c>
      <c r="BZ18" s="27"/>
      <c r="CA18" s="28">
        <f>IF('Grande area não produtiva'!$B$28="Sim",2,0)</f>
        <v>2</v>
      </c>
      <c r="CB18" s="27"/>
      <c r="CC18" s="28">
        <f>IF('Grande area não produtiva'!$B$30="Sim",2,0)</f>
        <v>0</v>
      </c>
      <c r="CD18" s="27"/>
      <c r="CE18" s="28">
        <f>IF('Grande area não produtiva'!$B$32="Sim",2,0)</f>
        <v>2</v>
      </c>
      <c r="CF18" s="27"/>
      <c r="CG18" s="28">
        <f>IF('Grande area não produtiva'!$B$35="Sim",2,0)</f>
        <v>2</v>
      </c>
      <c r="CH18" s="27"/>
      <c r="CI18" s="28"/>
      <c r="CJ18" s="27"/>
      <c r="CK18" s="28">
        <f>IF('Grande area não produtiva'!$B$39="Sim",2,0)</f>
        <v>2</v>
      </c>
      <c r="CL18" s="27"/>
      <c r="CM18" s="28">
        <f>IF('Grande area não produtiva'!$B$41="Sim",1,0)</f>
        <v>0</v>
      </c>
      <c r="CN18" s="29"/>
      <c r="CO18" s="4">
        <f t="shared" si="3"/>
        <v>14</v>
      </c>
    </row>
  </sheetData>
  <mergeCells count="46">
    <mergeCell ref="CM2:CN2"/>
    <mergeCell ref="CA2:CB2"/>
    <mergeCell ref="CC2:CD2"/>
    <mergeCell ref="CE2:CF2"/>
    <mergeCell ref="CG2:CH2"/>
    <mergeCell ref="CI2:CJ2"/>
    <mergeCell ref="CK2:CL2"/>
    <mergeCell ref="AX2:AY2"/>
    <mergeCell ref="BY2:BZ2"/>
    <mergeCell ref="BB2:BC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AN2:AO2"/>
    <mergeCell ref="AP2:AQ2"/>
    <mergeCell ref="AR2:AS2"/>
    <mergeCell ref="AT2:AU2"/>
    <mergeCell ref="AV2:AW2"/>
    <mergeCell ref="AC2:AD2"/>
    <mergeCell ref="AF2:AG2"/>
    <mergeCell ref="AH2:AI2"/>
    <mergeCell ref="AJ2:AK2"/>
    <mergeCell ref="AL2:AM2"/>
    <mergeCell ref="AA2:AB2"/>
    <mergeCell ref="E1:AD1"/>
    <mergeCell ref="AF1:BC1"/>
    <mergeCell ref="BE1:CN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Z2:BA2"/>
  </mergeCells>
  <pageMargins left="0.511811024" right="0.511811024" top="0.78740157499999996" bottom="0.78740157499999996" header="0.31496062000000002" footer="0.31496062000000002"/>
  <ignoredErrors>
    <ignoredError sqref="BI12 BG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90C7-239D-47BF-95B3-68FC70D34458}">
  <dimension ref="B2:AD34"/>
  <sheetViews>
    <sheetView showGridLines="0" tabSelected="1" workbookViewId="0">
      <selection activeCell="Z7" sqref="Z7"/>
    </sheetView>
  </sheetViews>
  <sheetFormatPr defaultRowHeight="14.4" x14ac:dyDescent="0.3"/>
  <cols>
    <col min="9" max="9" width="8.88671875" customWidth="1"/>
    <col min="20" max="20" width="8.88671875" customWidth="1"/>
  </cols>
  <sheetData>
    <row r="2" spans="2:30" x14ac:dyDescent="0.3">
      <c r="B2" s="86" t="s">
        <v>48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</row>
    <row r="9" spans="2:30" ht="18" x14ac:dyDescent="0.35">
      <c r="J9" s="59">
        <f>Pontuação!B4/Pontuação!C4</f>
        <v>0.5714285714285714</v>
      </c>
      <c r="K9" s="60"/>
      <c r="L9" s="60"/>
      <c r="M9" s="60"/>
      <c r="N9" s="60"/>
      <c r="O9" s="59">
        <f>Pontuação!B5/Pontuação!C5</f>
        <v>0.46153846153846156</v>
      </c>
      <c r="P9" s="60"/>
      <c r="Q9" s="60"/>
      <c r="R9" s="60"/>
      <c r="S9" s="60"/>
      <c r="T9" s="59">
        <f>Pontuação!B6/Pontuação!C6</f>
        <v>0.77419354838709675</v>
      </c>
      <c r="U9" s="56"/>
    </row>
    <row r="14" spans="2:30" x14ac:dyDescent="0.3">
      <c r="B14" s="85" t="s">
        <v>47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22" spans="4:28" s="63" customFormat="1" ht="18" x14ac:dyDescent="0.3">
      <c r="D22" s="61">
        <f>Pontuação!B18/Pontuação!C18</f>
        <v>0.73684210526315785</v>
      </c>
      <c r="E22" s="62"/>
      <c r="F22" s="62"/>
      <c r="G22" s="62"/>
      <c r="H22" s="62"/>
      <c r="I22" s="62"/>
      <c r="J22" s="61">
        <f>Pontuação!B16/Pontuação!C16</f>
        <v>0.8</v>
      </c>
      <c r="K22" s="62"/>
      <c r="L22" s="62"/>
      <c r="M22" s="62"/>
      <c r="N22" s="62"/>
      <c r="P22" s="61">
        <f>Pontuação!B14/Pontuação!C14</f>
        <v>0.75</v>
      </c>
      <c r="Q22" s="62"/>
      <c r="R22" s="62"/>
      <c r="S22" s="62"/>
      <c r="U22" s="62"/>
      <c r="V22" s="61">
        <f>Pontuação!B12/Pontuação!C12</f>
        <v>0.69047619047619047</v>
      </c>
      <c r="W22" s="62"/>
      <c r="X22" s="62"/>
      <c r="AB22" s="61">
        <f>Pontuação!B10/Pontuação!C10</f>
        <v>0.72222222222222221</v>
      </c>
    </row>
    <row r="34" spans="4:28" s="64" customFormat="1" ht="18" x14ac:dyDescent="0.35">
      <c r="D34" s="64">
        <f>Pontuação!B17/Pontuação!C17</f>
        <v>0.66666666666666663</v>
      </c>
      <c r="J34" s="64">
        <f>Pontuação!B15/Pontuação!C15</f>
        <v>0.75</v>
      </c>
      <c r="P34" s="65">
        <f>Pontuação!B13/Pontuação!C13</f>
        <v>0.7</v>
      </c>
      <c r="V34" s="64">
        <f>Pontuação!B11/Pontuação!C11</f>
        <v>0.6097560975609756</v>
      </c>
      <c r="AB34" s="64">
        <f>Pontuação!B9/Pontuação!C9</f>
        <v>0.4375</v>
      </c>
    </row>
  </sheetData>
  <mergeCells count="2">
    <mergeCell ref="B14:AD14"/>
    <mergeCell ref="B2:AD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C8C5-303B-45A1-A5F2-EB844F27ED39}">
  <dimension ref="A1:CM18"/>
  <sheetViews>
    <sheetView workbookViewId="0">
      <pane xSplit="1" topLeftCell="AD1" activePane="topRight" state="frozen"/>
      <selection pane="topRight" activeCell="BK16" sqref="BK16"/>
    </sheetView>
  </sheetViews>
  <sheetFormatPr defaultRowHeight="14.4" x14ac:dyDescent="0.3"/>
  <cols>
    <col min="1" max="1" width="44.44140625" customWidth="1"/>
    <col min="2" max="2" width="18.5546875" bestFit="1" customWidth="1"/>
    <col min="3" max="3" width="3.21875" style="3" bestFit="1" customWidth="1"/>
    <col min="4" max="4" width="3.33203125" style="3" bestFit="1" customWidth="1"/>
    <col min="5" max="5" width="3.21875" style="3" bestFit="1" customWidth="1"/>
    <col min="6" max="6" width="3.33203125" style="3" bestFit="1" customWidth="1"/>
    <col min="7" max="7" width="3.21875" style="3" bestFit="1" customWidth="1"/>
    <col min="8" max="8" width="3.33203125" style="3" bestFit="1" customWidth="1"/>
    <col min="9" max="9" width="3.21875" style="3" bestFit="1" customWidth="1"/>
    <col min="10" max="10" width="3.33203125" style="3" bestFit="1" customWidth="1"/>
    <col min="11" max="11" width="3.21875" style="3" bestFit="1" customWidth="1"/>
    <col min="12" max="12" width="3.33203125" style="3" bestFit="1" customWidth="1"/>
    <col min="13" max="13" width="3.21875" style="3" bestFit="1" customWidth="1"/>
    <col min="14" max="14" width="3.33203125" style="3" bestFit="1" customWidth="1"/>
    <col min="15" max="15" width="3.21875" style="3" bestFit="1" customWidth="1"/>
    <col min="16" max="16" width="3.33203125" style="3" bestFit="1" customWidth="1"/>
    <col min="17" max="17" width="3.21875" style="3" bestFit="1" customWidth="1"/>
    <col min="18" max="18" width="3.33203125" style="3" bestFit="1" customWidth="1"/>
    <col min="19" max="19" width="3.21875" style="3" bestFit="1" customWidth="1"/>
    <col min="20" max="20" width="3.33203125" style="3" bestFit="1" customWidth="1"/>
    <col min="21" max="21" width="3.21875" style="3" bestFit="1" customWidth="1"/>
    <col min="22" max="22" width="3.33203125" style="3" bestFit="1" customWidth="1"/>
    <col min="23" max="23" width="3.21875" style="3" bestFit="1" customWidth="1"/>
    <col min="24" max="24" width="3.33203125" style="3" bestFit="1" customWidth="1"/>
    <col min="25" max="25" width="3.21875" style="3" bestFit="1" customWidth="1"/>
    <col min="26" max="26" width="3.33203125" style="3" bestFit="1" customWidth="1"/>
    <col min="27" max="27" width="3.21875" style="3" bestFit="1" customWidth="1"/>
    <col min="28" max="28" width="3.33203125" style="3" bestFit="1" customWidth="1"/>
    <col min="29" max="29" width="5" style="2" bestFit="1" customWidth="1"/>
    <col min="30" max="30" width="3.21875" style="3" bestFit="1" customWidth="1"/>
    <col min="31" max="31" width="3.33203125" style="3" bestFit="1" customWidth="1"/>
    <col min="32" max="32" width="3.21875" style="3" bestFit="1" customWidth="1"/>
    <col min="33" max="33" width="3.33203125" style="3" bestFit="1" customWidth="1"/>
    <col min="34" max="34" width="3.21875" style="3" bestFit="1" customWidth="1"/>
    <col min="35" max="35" width="3.33203125" style="3" bestFit="1" customWidth="1"/>
    <col min="36" max="36" width="3.21875" style="3" bestFit="1" customWidth="1"/>
    <col min="37" max="37" width="3.33203125" style="3" bestFit="1" customWidth="1"/>
    <col min="38" max="38" width="3.21875" bestFit="1" customWidth="1"/>
    <col min="39" max="39" width="3.33203125" bestFit="1" customWidth="1"/>
    <col min="40" max="40" width="3.21875" bestFit="1" customWidth="1"/>
    <col min="41" max="41" width="3.33203125" bestFit="1" customWidth="1"/>
    <col min="42" max="42" width="3.21875" bestFit="1" customWidth="1"/>
    <col min="43" max="43" width="3.33203125" bestFit="1" customWidth="1"/>
    <col min="44" max="44" width="3.21875" bestFit="1" customWidth="1"/>
    <col min="45" max="45" width="3.33203125" bestFit="1" customWidth="1"/>
    <col min="46" max="46" width="3.21875" bestFit="1" customWidth="1"/>
    <col min="47" max="47" width="3.33203125" bestFit="1" customWidth="1"/>
    <col min="48" max="48" width="3.21875" bestFit="1" customWidth="1"/>
    <col min="49" max="49" width="3.33203125" bestFit="1" customWidth="1"/>
    <col min="50" max="50" width="3.21875" bestFit="1" customWidth="1"/>
    <col min="51" max="51" width="3.33203125" bestFit="1" customWidth="1"/>
    <col min="52" max="52" width="3.21875" bestFit="1" customWidth="1"/>
    <col min="53" max="53" width="3.33203125" bestFit="1" customWidth="1"/>
    <col min="54" max="54" width="5" bestFit="1" customWidth="1"/>
    <col min="55" max="55" width="3.21875" bestFit="1" customWidth="1"/>
    <col min="56" max="56" width="3.33203125" bestFit="1" customWidth="1"/>
    <col min="57" max="57" width="3.21875" bestFit="1" customWidth="1"/>
    <col min="58" max="58" width="3.33203125" bestFit="1" customWidth="1"/>
    <col min="59" max="59" width="3.21875" bestFit="1" customWidth="1"/>
    <col min="60" max="60" width="3.33203125" bestFit="1" customWidth="1"/>
    <col min="61" max="61" width="3.21875" bestFit="1" customWidth="1"/>
    <col min="62" max="62" width="3.33203125" bestFit="1" customWidth="1"/>
    <col min="63" max="63" width="3.21875" bestFit="1" customWidth="1"/>
    <col min="64" max="64" width="3.33203125" bestFit="1" customWidth="1"/>
    <col min="65" max="65" width="3.21875" bestFit="1" customWidth="1"/>
    <col min="66" max="66" width="3.33203125" bestFit="1" customWidth="1"/>
    <col min="67" max="67" width="3.21875" bestFit="1" customWidth="1"/>
    <col min="68" max="68" width="3.33203125" bestFit="1" customWidth="1"/>
    <col min="69" max="69" width="3.21875" bestFit="1" customWidth="1"/>
    <col min="70" max="70" width="3.33203125" bestFit="1" customWidth="1"/>
    <col min="71" max="71" width="3.21875" bestFit="1" customWidth="1"/>
    <col min="72" max="72" width="3.33203125" bestFit="1" customWidth="1"/>
    <col min="73" max="73" width="3.21875" bestFit="1" customWidth="1"/>
    <col min="74" max="74" width="3.33203125" bestFit="1" customWidth="1"/>
    <col min="75" max="75" width="3.21875" bestFit="1" customWidth="1"/>
    <col min="76" max="76" width="3.33203125" bestFit="1" customWidth="1"/>
    <col min="77" max="77" width="3.21875" bestFit="1" customWidth="1"/>
    <col min="78" max="78" width="3.33203125" bestFit="1" customWidth="1"/>
    <col min="79" max="79" width="3.21875" bestFit="1" customWidth="1"/>
    <col min="80" max="80" width="3.33203125" bestFit="1" customWidth="1"/>
    <col min="81" max="81" width="3.21875" bestFit="1" customWidth="1"/>
    <col min="82" max="82" width="3.33203125" bestFit="1" customWidth="1"/>
    <col min="83" max="83" width="3.21875" bestFit="1" customWidth="1"/>
    <col min="84" max="84" width="3.33203125" bestFit="1" customWidth="1"/>
    <col min="85" max="85" width="3.21875" bestFit="1" customWidth="1"/>
    <col min="86" max="86" width="3.33203125" bestFit="1" customWidth="1"/>
    <col min="87" max="87" width="3.21875" bestFit="1" customWidth="1"/>
    <col min="88" max="88" width="3.33203125" bestFit="1" customWidth="1"/>
    <col min="89" max="89" width="3.21875" bestFit="1" customWidth="1"/>
    <col min="90" max="90" width="3.33203125" bestFit="1" customWidth="1"/>
  </cols>
  <sheetData>
    <row r="1" spans="1:91" x14ac:dyDescent="0.3">
      <c r="C1" s="74" t="s">
        <v>65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6"/>
      <c r="AC1" s="2" t="s">
        <v>66</v>
      </c>
      <c r="AD1" s="77" t="s">
        <v>67</v>
      </c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9"/>
      <c r="BB1" s="2" t="s">
        <v>66</v>
      </c>
      <c r="BC1" s="74" t="s">
        <v>68</v>
      </c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6"/>
      <c r="CM1" s="2" t="s">
        <v>66</v>
      </c>
    </row>
    <row r="2" spans="1:91" x14ac:dyDescent="0.3">
      <c r="A2" s="87" t="s">
        <v>48</v>
      </c>
      <c r="B2" s="87"/>
      <c r="C2" s="80">
        <v>1</v>
      </c>
      <c r="D2" s="73"/>
      <c r="E2" s="73">
        <v>2</v>
      </c>
      <c r="F2" s="73"/>
      <c r="G2" s="73">
        <v>3</v>
      </c>
      <c r="H2" s="73"/>
      <c r="I2" s="73">
        <v>4</v>
      </c>
      <c r="J2" s="73"/>
      <c r="K2" s="73">
        <v>5</v>
      </c>
      <c r="L2" s="73"/>
      <c r="M2" s="73">
        <v>6</v>
      </c>
      <c r="N2" s="73"/>
      <c r="O2" s="73">
        <v>7</v>
      </c>
      <c r="P2" s="73"/>
      <c r="Q2" s="73">
        <v>8</v>
      </c>
      <c r="R2" s="73"/>
      <c r="S2" s="73">
        <v>9</v>
      </c>
      <c r="T2" s="73"/>
      <c r="U2" s="73">
        <v>10</v>
      </c>
      <c r="V2" s="73"/>
      <c r="W2" s="73">
        <v>11</v>
      </c>
      <c r="X2" s="73"/>
      <c r="Y2" s="73">
        <v>12</v>
      </c>
      <c r="Z2" s="73"/>
      <c r="AA2" s="73">
        <v>13</v>
      </c>
      <c r="AB2" s="81"/>
      <c r="AC2" s="4"/>
      <c r="AD2" s="80">
        <v>14</v>
      </c>
      <c r="AE2" s="73"/>
      <c r="AF2" s="73">
        <v>15</v>
      </c>
      <c r="AG2" s="73"/>
      <c r="AH2" s="73">
        <v>16</v>
      </c>
      <c r="AI2" s="73"/>
      <c r="AJ2" s="73">
        <v>17</v>
      </c>
      <c r="AK2" s="73"/>
      <c r="AL2" s="73">
        <v>18</v>
      </c>
      <c r="AM2" s="73"/>
      <c r="AN2" s="73">
        <v>19</v>
      </c>
      <c r="AO2" s="73"/>
      <c r="AP2" s="73">
        <v>20</v>
      </c>
      <c r="AQ2" s="73"/>
      <c r="AR2" s="73">
        <v>21</v>
      </c>
      <c r="AS2" s="73"/>
      <c r="AT2" s="73">
        <v>22</v>
      </c>
      <c r="AU2" s="73"/>
      <c r="AV2" s="73">
        <v>23</v>
      </c>
      <c r="AW2" s="73"/>
      <c r="AX2" s="73">
        <v>24</v>
      </c>
      <c r="AY2" s="73"/>
      <c r="AZ2" s="73">
        <v>25</v>
      </c>
      <c r="BA2" s="81"/>
      <c r="BB2" s="4"/>
      <c r="BC2" s="83">
        <v>26</v>
      </c>
      <c r="BD2" s="82"/>
      <c r="BE2" s="82">
        <v>27</v>
      </c>
      <c r="BF2" s="82"/>
      <c r="BG2" s="82">
        <v>28</v>
      </c>
      <c r="BH2" s="82"/>
      <c r="BI2" s="82">
        <v>29</v>
      </c>
      <c r="BJ2" s="82"/>
      <c r="BK2" s="82">
        <v>30</v>
      </c>
      <c r="BL2" s="82"/>
      <c r="BM2" s="82">
        <v>31</v>
      </c>
      <c r="BN2" s="82"/>
      <c r="BO2" s="82">
        <v>32</v>
      </c>
      <c r="BP2" s="82"/>
      <c r="BQ2" s="82">
        <v>33</v>
      </c>
      <c r="BR2" s="82"/>
      <c r="BS2" s="82">
        <v>34</v>
      </c>
      <c r="BT2" s="82"/>
      <c r="BU2" s="82">
        <v>35</v>
      </c>
      <c r="BV2" s="82"/>
      <c r="BW2" s="82">
        <v>36</v>
      </c>
      <c r="BX2" s="82"/>
      <c r="BY2" s="82">
        <v>37</v>
      </c>
      <c r="BZ2" s="82"/>
      <c r="CA2" s="82">
        <v>38</v>
      </c>
      <c r="CB2" s="82"/>
      <c r="CC2" s="82">
        <v>39</v>
      </c>
      <c r="CD2" s="82"/>
      <c r="CE2" s="82">
        <v>40</v>
      </c>
      <c r="CF2" s="82"/>
      <c r="CG2" s="82">
        <v>41</v>
      </c>
      <c r="CH2" s="82"/>
      <c r="CI2" s="82">
        <v>42</v>
      </c>
      <c r="CJ2" s="82"/>
      <c r="CK2" s="82">
        <v>43</v>
      </c>
      <c r="CL2" s="84"/>
      <c r="CM2" s="4"/>
    </row>
    <row r="3" spans="1:91" x14ac:dyDescent="0.3">
      <c r="B3" s="1" t="s">
        <v>62</v>
      </c>
      <c r="C3" s="9" t="s">
        <v>63</v>
      </c>
      <c r="D3" s="8" t="s">
        <v>64</v>
      </c>
      <c r="E3" s="9" t="s">
        <v>63</v>
      </c>
      <c r="F3" s="8" t="s">
        <v>64</v>
      </c>
      <c r="G3" s="9" t="s">
        <v>63</v>
      </c>
      <c r="H3" s="8" t="s">
        <v>64</v>
      </c>
      <c r="I3" s="9" t="s">
        <v>63</v>
      </c>
      <c r="J3" s="8" t="s">
        <v>64</v>
      </c>
      <c r="K3" s="9" t="s">
        <v>63</v>
      </c>
      <c r="L3" s="8" t="s">
        <v>64</v>
      </c>
      <c r="M3" s="9" t="s">
        <v>63</v>
      </c>
      <c r="N3" s="8" t="s">
        <v>64</v>
      </c>
      <c r="O3" s="9" t="s">
        <v>63</v>
      </c>
      <c r="P3" s="8" t="s">
        <v>64</v>
      </c>
      <c r="Q3" s="9" t="s">
        <v>63</v>
      </c>
      <c r="R3" s="8" t="s">
        <v>64</v>
      </c>
      <c r="S3" s="9" t="s">
        <v>63</v>
      </c>
      <c r="T3" s="8" t="s">
        <v>64</v>
      </c>
      <c r="U3" s="9" t="s">
        <v>63</v>
      </c>
      <c r="V3" s="8" t="s">
        <v>64</v>
      </c>
      <c r="W3" s="9" t="s">
        <v>63</v>
      </c>
      <c r="X3" s="8" t="s">
        <v>64</v>
      </c>
      <c r="Y3" s="9" t="s">
        <v>63</v>
      </c>
      <c r="Z3" s="8" t="s">
        <v>64</v>
      </c>
      <c r="AA3" s="9" t="s">
        <v>63</v>
      </c>
      <c r="AB3" s="8" t="s">
        <v>64</v>
      </c>
      <c r="AC3" s="4"/>
      <c r="AD3" s="9" t="s">
        <v>63</v>
      </c>
      <c r="AE3" s="8" t="s">
        <v>64</v>
      </c>
      <c r="AF3" s="9" t="s">
        <v>63</v>
      </c>
      <c r="AG3" s="8" t="s">
        <v>64</v>
      </c>
      <c r="AH3" s="9" t="s">
        <v>63</v>
      </c>
      <c r="AI3" s="8" t="s">
        <v>64</v>
      </c>
      <c r="AJ3" s="9" t="s">
        <v>63</v>
      </c>
      <c r="AK3" s="8" t="s">
        <v>64</v>
      </c>
      <c r="AL3" s="9" t="s">
        <v>63</v>
      </c>
      <c r="AM3" s="8" t="s">
        <v>64</v>
      </c>
      <c r="AN3" s="9" t="s">
        <v>63</v>
      </c>
      <c r="AO3" s="8" t="s">
        <v>64</v>
      </c>
      <c r="AP3" s="9" t="s">
        <v>63</v>
      </c>
      <c r="AQ3" s="8" t="s">
        <v>64</v>
      </c>
      <c r="AR3" s="9" t="s">
        <v>63</v>
      </c>
      <c r="AS3" s="8" t="s">
        <v>64</v>
      </c>
      <c r="AT3" s="9" t="s">
        <v>63</v>
      </c>
      <c r="AU3" s="8" t="s">
        <v>64</v>
      </c>
      <c r="AV3" s="9" t="s">
        <v>63</v>
      </c>
      <c r="AW3" s="8" t="s">
        <v>64</v>
      </c>
      <c r="AX3" s="9" t="s">
        <v>63</v>
      </c>
      <c r="AY3" s="8" t="s">
        <v>64</v>
      </c>
      <c r="AZ3" s="9" t="s">
        <v>63</v>
      </c>
      <c r="BA3" s="8" t="s">
        <v>64</v>
      </c>
      <c r="BB3" s="4"/>
      <c r="BC3" s="9" t="s">
        <v>63</v>
      </c>
      <c r="BD3" s="8" t="s">
        <v>64</v>
      </c>
      <c r="BE3" s="9" t="s">
        <v>63</v>
      </c>
      <c r="BF3" s="8" t="s">
        <v>64</v>
      </c>
      <c r="BG3" s="9" t="s">
        <v>63</v>
      </c>
      <c r="BH3" s="8" t="s">
        <v>64</v>
      </c>
      <c r="BI3" s="9" t="s">
        <v>63</v>
      </c>
      <c r="BJ3" s="8" t="s">
        <v>64</v>
      </c>
      <c r="BK3" s="9" t="s">
        <v>63</v>
      </c>
      <c r="BL3" s="8" t="s">
        <v>64</v>
      </c>
      <c r="BM3" s="9" t="s">
        <v>63</v>
      </c>
      <c r="BN3" s="8" t="s">
        <v>64</v>
      </c>
      <c r="BO3" s="9" t="s">
        <v>63</v>
      </c>
      <c r="BP3" s="8" t="s">
        <v>64</v>
      </c>
      <c r="BQ3" s="9" t="s">
        <v>63</v>
      </c>
      <c r="BR3" s="8" t="s">
        <v>64</v>
      </c>
      <c r="BS3" s="9" t="s">
        <v>63</v>
      </c>
      <c r="BT3" s="8" t="s">
        <v>64</v>
      </c>
      <c r="BU3" s="9" t="s">
        <v>63</v>
      </c>
      <c r="BV3" s="8" t="s">
        <v>64</v>
      </c>
      <c r="BW3" s="9" t="s">
        <v>63</v>
      </c>
      <c r="BX3" s="8" t="s">
        <v>64</v>
      </c>
      <c r="BY3" s="9" t="s">
        <v>63</v>
      </c>
      <c r="BZ3" s="8" t="s">
        <v>64</v>
      </c>
      <c r="CA3" s="9" t="s">
        <v>63</v>
      </c>
      <c r="CB3" s="8" t="s">
        <v>64</v>
      </c>
      <c r="CC3" s="9" t="s">
        <v>63</v>
      </c>
      <c r="CD3" s="8" t="s">
        <v>64</v>
      </c>
      <c r="CE3" s="9" t="s">
        <v>63</v>
      </c>
      <c r="CF3" s="8" t="s">
        <v>64</v>
      </c>
      <c r="CG3" s="9" t="s">
        <v>63</v>
      </c>
      <c r="CH3" s="8" t="s">
        <v>64</v>
      </c>
      <c r="CI3" s="9" t="s">
        <v>63</v>
      </c>
      <c r="CJ3" s="8" t="s">
        <v>64</v>
      </c>
      <c r="CK3" s="9" t="s">
        <v>63</v>
      </c>
      <c r="CL3" s="8" t="s">
        <v>64</v>
      </c>
      <c r="CM3" s="4"/>
    </row>
    <row r="4" spans="1:91" x14ac:dyDescent="0.3">
      <c r="A4" t="s">
        <v>49</v>
      </c>
      <c r="B4" s="1">
        <f>SUM(BB4,CM4,AC4)</f>
        <v>7</v>
      </c>
      <c r="C4" s="10"/>
      <c r="E4" s="12"/>
      <c r="G4" s="12">
        <v>1</v>
      </c>
      <c r="I4" s="57">
        <v>2</v>
      </c>
      <c r="K4" s="12">
        <v>1</v>
      </c>
      <c r="M4" s="12"/>
      <c r="O4" s="12"/>
      <c r="Q4" s="57">
        <v>0</v>
      </c>
      <c r="S4" s="12">
        <v>1</v>
      </c>
      <c r="U4" s="12"/>
      <c r="W4" s="12">
        <v>1</v>
      </c>
      <c r="Y4" s="57">
        <v>0</v>
      </c>
      <c r="AA4" s="57">
        <v>1</v>
      </c>
      <c r="AB4" s="5"/>
      <c r="AC4" s="4">
        <f>SUM(C4:AB4)</f>
        <v>7</v>
      </c>
      <c r="AD4" s="10"/>
      <c r="AF4" s="12"/>
      <c r="AH4" s="12"/>
      <c r="AJ4" s="12"/>
      <c r="AL4" s="12"/>
      <c r="AM4" s="3"/>
      <c r="AN4" s="12"/>
      <c r="AO4" s="3"/>
      <c r="AP4" s="12"/>
      <c r="AQ4" s="3"/>
      <c r="AR4" s="12"/>
      <c r="AS4" s="3"/>
      <c r="AT4" s="12"/>
      <c r="AU4" s="3"/>
      <c r="AV4" s="12"/>
      <c r="AW4" s="3"/>
      <c r="AX4" s="12"/>
      <c r="AY4" s="3"/>
      <c r="AZ4" s="12"/>
      <c r="BA4" s="5"/>
      <c r="BB4" s="4">
        <f>SUM(AD4:BA4)</f>
        <v>0</v>
      </c>
      <c r="BC4" s="15"/>
      <c r="BD4" s="14"/>
      <c r="BE4" s="16"/>
      <c r="BF4" s="14"/>
      <c r="BG4" s="16"/>
      <c r="BH4" s="14"/>
      <c r="BI4" s="16"/>
      <c r="BJ4" s="14"/>
      <c r="BK4" s="16"/>
      <c r="BL4" s="14"/>
      <c r="BM4" s="16"/>
      <c r="BN4" s="14"/>
      <c r="BO4" s="16"/>
      <c r="BP4" s="14"/>
      <c r="BQ4" s="16"/>
      <c r="BR4" s="14"/>
      <c r="BS4" s="16"/>
      <c r="BT4" s="14"/>
      <c r="BU4" s="16"/>
      <c r="BV4" s="14"/>
      <c r="BW4" s="16"/>
      <c r="BX4" s="14"/>
      <c r="BY4" s="16"/>
      <c r="BZ4" s="14"/>
      <c r="CA4" s="16"/>
      <c r="CB4" s="14"/>
      <c r="CC4" s="16"/>
      <c r="CD4" s="14"/>
      <c r="CE4" s="16"/>
      <c r="CF4" s="14"/>
      <c r="CG4" s="16"/>
      <c r="CH4" s="14"/>
      <c r="CI4" s="16"/>
      <c r="CJ4" s="14"/>
      <c r="CK4" s="16"/>
      <c r="CL4" s="17"/>
      <c r="CM4" s="4">
        <f>SUM(BC4:CL4)</f>
        <v>0</v>
      </c>
    </row>
    <row r="5" spans="1:91" x14ac:dyDescent="0.3">
      <c r="A5" t="s">
        <v>50</v>
      </c>
      <c r="B5" s="1">
        <f t="shared" ref="B5:B6" si="0">SUM(BB5,CM5,AC5)</f>
        <v>13</v>
      </c>
      <c r="C5" s="10"/>
      <c r="E5" s="12"/>
      <c r="G5" s="12"/>
      <c r="I5" s="12"/>
      <c r="K5" s="12"/>
      <c r="M5" s="12"/>
      <c r="O5" s="12"/>
      <c r="Q5" s="12"/>
      <c r="S5" s="12"/>
      <c r="U5" s="12"/>
      <c r="W5" s="12"/>
      <c r="Y5" s="12"/>
      <c r="AA5" s="12"/>
      <c r="AB5" s="5"/>
      <c r="AC5" s="4">
        <f t="shared" ref="AC5:AC18" si="1">SUM(C5:AB5)</f>
        <v>0</v>
      </c>
      <c r="AD5" s="10">
        <v>1</v>
      </c>
      <c r="AF5" s="12">
        <v>2</v>
      </c>
      <c r="AH5" s="12"/>
      <c r="AJ5" s="12"/>
      <c r="AL5" s="12">
        <v>2</v>
      </c>
      <c r="AM5" s="3"/>
      <c r="AN5" s="12">
        <v>1</v>
      </c>
      <c r="AO5" s="3"/>
      <c r="AP5" s="12">
        <v>2</v>
      </c>
      <c r="AQ5" s="3"/>
      <c r="AR5" s="12">
        <v>1</v>
      </c>
      <c r="AS5" s="3"/>
      <c r="AT5" s="12">
        <v>1</v>
      </c>
      <c r="AU5" s="3"/>
      <c r="AV5" s="12">
        <v>1</v>
      </c>
      <c r="AW5" s="3"/>
      <c r="AX5" s="12">
        <v>1</v>
      </c>
      <c r="AY5" s="3"/>
      <c r="AZ5" s="12">
        <v>1</v>
      </c>
      <c r="BA5" s="5"/>
      <c r="BB5" s="4">
        <f t="shared" ref="BB5:BB18" si="2">SUM(AD5:BA5)</f>
        <v>13</v>
      </c>
      <c r="BC5" s="10"/>
      <c r="BD5" s="3"/>
      <c r="BE5" s="12"/>
      <c r="BF5" s="3"/>
      <c r="BG5" s="12"/>
      <c r="BH5" s="3"/>
      <c r="BI5" s="12"/>
      <c r="BJ5" s="3"/>
      <c r="BK5" s="12"/>
      <c r="BL5" s="3"/>
      <c r="BM5" s="12"/>
      <c r="BN5" s="3"/>
      <c r="BO5" s="12"/>
      <c r="BP5" s="3"/>
      <c r="BQ5" s="12"/>
      <c r="BR5" s="3"/>
      <c r="BS5" s="12"/>
      <c r="BT5" s="3"/>
      <c r="BU5" s="12"/>
      <c r="BV5" s="3"/>
      <c r="BW5" s="12"/>
      <c r="BX5" s="3"/>
      <c r="BY5" s="12"/>
      <c r="BZ5" s="3"/>
      <c r="CA5" s="12"/>
      <c r="CB5" s="3"/>
      <c r="CC5" s="12"/>
      <c r="CD5" s="3"/>
      <c r="CE5" s="12"/>
      <c r="CF5" s="3"/>
      <c r="CG5" s="12"/>
      <c r="CH5" s="3"/>
      <c r="CI5" s="12"/>
      <c r="CJ5" s="3"/>
      <c r="CK5" s="12"/>
      <c r="CL5" s="5"/>
      <c r="CM5" s="4">
        <f t="shared" ref="CM5:CM18" si="3">SUM(BC5:CL5)</f>
        <v>0</v>
      </c>
    </row>
    <row r="6" spans="1:91" x14ac:dyDescent="0.3">
      <c r="A6" t="s">
        <v>51</v>
      </c>
      <c r="B6" s="1">
        <f t="shared" si="0"/>
        <v>31</v>
      </c>
      <c r="C6" s="10"/>
      <c r="E6" s="12"/>
      <c r="G6" s="12"/>
      <c r="I6" s="12"/>
      <c r="K6" s="12"/>
      <c r="M6" s="12"/>
      <c r="O6" s="12"/>
      <c r="Q6" s="12"/>
      <c r="S6" s="12"/>
      <c r="U6" s="12"/>
      <c r="W6" s="12"/>
      <c r="Y6" s="12"/>
      <c r="AA6" s="12"/>
      <c r="AB6" s="5"/>
      <c r="AC6" s="4">
        <f t="shared" si="1"/>
        <v>0</v>
      </c>
      <c r="AD6" s="10"/>
      <c r="AF6" s="12"/>
      <c r="AH6" s="12"/>
      <c r="AJ6" s="12"/>
      <c r="AL6" s="12"/>
      <c r="AM6" s="3"/>
      <c r="AN6" s="12"/>
      <c r="AO6" s="3"/>
      <c r="AP6" s="12"/>
      <c r="AQ6" s="3"/>
      <c r="AR6" s="12"/>
      <c r="AS6" s="3"/>
      <c r="AT6" s="12"/>
      <c r="AU6" s="3"/>
      <c r="AV6" s="12"/>
      <c r="AW6" s="3"/>
      <c r="AX6" s="12"/>
      <c r="AY6" s="3"/>
      <c r="AZ6" s="12"/>
      <c r="BA6" s="5"/>
      <c r="BB6" s="4">
        <f t="shared" si="2"/>
        <v>0</v>
      </c>
      <c r="BC6" s="10">
        <v>1</v>
      </c>
      <c r="BD6" s="3"/>
      <c r="BE6" s="12">
        <v>2</v>
      </c>
      <c r="BF6" s="3"/>
      <c r="BG6" s="12">
        <v>2</v>
      </c>
      <c r="BH6" s="3"/>
      <c r="BI6" s="57">
        <v>1</v>
      </c>
      <c r="BJ6" s="3"/>
      <c r="BK6" s="12">
        <v>2</v>
      </c>
      <c r="BL6" s="3"/>
      <c r="BM6" s="12">
        <v>2</v>
      </c>
      <c r="BN6" s="3"/>
      <c r="BO6" s="12">
        <v>2</v>
      </c>
      <c r="BP6" s="3"/>
      <c r="BQ6" s="57">
        <v>0</v>
      </c>
      <c r="BR6" s="3"/>
      <c r="BS6" s="12">
        <v>2</v>
      </c>
      <c r="BT6" s="3"/>
      <c r="BU6" s="12">
        <v>2</v>
      </c>
      <c r="BV6" s="3"/>
      <c r="BW6" s="12">
        <v>2</v>
      </c>
      <c r="BX6" s="3"/>
      <c r="BY6" s="57">
        <v>1</v>
      </c>
      <c r="BZ6" s="3"/>
      <c r="CA6" s="12">
        <v>2</v>
      </c>
      <c r="CB6" s="3"/>
      <c r="CC6" s="12">
        <v>2</v>
      </c>
      <c r="CD6" s="3"/>
      <c r="CE6" s="12">
        <v>2</v>
      </c>
      <c r="CF6" s="3"/>
      <c r="CG6" s="12">
        <v>2</v>
      </c>
      <c r="CH6" s="3"/>
      <c r="CI6" s="57">
        <v>2</v>
      </c>
      <c r="CJ6" s="3"/>
      <c r="CK6" s="57">
        <v>2</v>
      </c>
      <c r="CL6" s="5"/>
      <c r="CM6" s="4">
        <f>SUM(BC6:CL6)</f>
        <v>31</v>
      </c>
    </row>
    <row r="7" spans="1:91" x14ac:dyDescent="0.3">
      <c r="A7" s="87" t="s">
        <v>47</v>
      </c>
      <c r="B7" s="87"/>
      <c r="C7" s="10"/>
      <c r="E7" s="12"/>
      <c r="G7" s="12"/>
      <c r="I7" s="12"/>
      <c r="K7" s="12"/>
      <c r="M7" s="12"/>
      <c r="O7" s="12"/>
      <c r="Q7" s="12"/>
      <c r="S7" s="12"/>
      <c r="U7" s="12"/>
      <c r="W7" s="12"/>
      <c r="Y7" s="12"/>
      <c r="AA7" s="12"/>
      <c r="AB7" s="5"/>
      <c r="AC7" s="4"/>
      <c r="AD7" s="10"/>
      <c r="AF7" s="12"/>
      <c r="AH7" s="12"/>
      <c r="AJ7" s="12"/>
      <c r="AL7" s="12"/>
      <c r="AM7" s="3"/>
      <c r="AN7" s="12"/>
      <c r="AO7" s="3"/>
      <c r="AP7" s="12"/>
      <c r="AQ7" s="3"/>
      <c r="AR7" s="12"/>
      <c r="AS7" s="3"/>
      <c r="AT7" s="12"/>
      <c r="AU7" s="3"/>
      <c r="AV7" s="12"/>
      <c r="AW7" s="3"/>
      <c r="AX7" s="12"/>
      <c r="AY7" s="3"/>
      <c r="AZ7" s="12"/>
      <c r="BA7" s="5"/>
      <c r="BB7" s="4"/>
      <c r="BC7" s="10"/>
      <c r="BD7" s="3"/>
      <c r="BE7" s="12"/>
      <c r="BF7" s="3"/>
      <c r="BG7" s="12"/>
      <c r="BH7" s="3"/>
      <c r="BI7" s="12"/>
      <c r="BJ7" s="3"/>
      <c r="BK7" s="12"/>
      <c r="BL7" s="3"/>
      <c r="BM7" s="12"/>
      <c r="BN7" s="3"/>
      <c r="BO7" s="12"/>
      <c r="BP7" s="3"/>
      <c r="BQ7" s="12"/>
      <c r="BR7" s="3"/>
      <c r="BS7" s="12"/>
      <c r="BT7" s="3"/>
      <c r="BU7" s="12"/>
      <c r="BV7" s="3"/>
      <c r="BW7" s="12"/>
      <c r="BX7" s="3"/>
      <c r="BY7" s="12"/>
      <c r="BZ7" s="3"/>
      <c r="CA7" s="12"/>
      <c r="CB7" s="3"/>
      <c r="CC7" s="12"/>
      <c r="CD7" s="3"/>
      <c r="CE7" s="12"/>
      <c r="CF7" s="3"/>
      <c r="CG7" s="12"/>
      <c r="CH7" s="3"/>
      <c r="CI7" s="12"/>
      <c r="CJ7" s="3"/>
      <c r="CK7" s="57"/>
      <c r="CL7" s="5"/>
      <c r="CM7" s="4"/>
    </row>
    <row r="8" spans="1:91" x14ac:dyDescent="0.3">
      <c r="B8" s="1" t="s">
        <v>62</v>
      </c>
      <c r="C8" s="10"/>
      <c r="E8" s="12"/>
      <c r="G8" s="12"/>
      <c r="I8" s="12"/>
      <c r="K8" s="12"/>
      <c r="M8" s="12"/>
      <c r="O8" s="12"/>
      <c r="Q8" s="12"/>
      <c r="S8" s="12"/>
      <c r="U8" s="12"/>
      <c r="W8" s="12"/>
      <c r="Y8" s="12"/>
      <c r="AA8" s="12"/>
      <c r="AB8" s="5"/>
      <c r="AC8" s="4"/>
      <c r="AD8" s="10"/>
      <c r="AF8" s="12"/>
      <c r="AH8" s="12"/>
      <c r="AJ8" s="12"/>
      <c r="AL8" s="12"/>
      <c r="AM8" s="3"/>
      <c r="AN8" s="12"/>
      <c r="AO8" s="3"/>
      <c r="AP8" s="12"/>
      <c r="AQ8" s="3"/>
      <c r="AR8" s="12"/>
      <c r="AS8" s="3"/>
      <c r="AT8" s="12"/>
      <c r="AU8" s="3"/>
      <c r="AV8" s="12"/>
      <c r="AW8" s="3"/>
      <c r="AX8" s="12"/>
      <c r="AY8" s="3"/>
      <c r="AZ8" s="12"/>
      <c r="BA8" s="5"/>
      <c r="BB8" s="4"/>
      <c r="BC8" s="10"/>
      <c r="BD8" s="3"/>
      <c r="BE8" s="12"/>
      <c r="BF8" s="3"/>
      <c r="BG8" s="12"/>
      <c r="BH8" s="3"/>
      <c r="BI8" s="12"/>
      <c r="BJ8" s="3"/>
      <c r="BK8" s="12"/>
      <c r="BL8" s="3"/>
      <c r="BM8" s="12"/>
      <c r="BN8" s="3"/>
      <c r="BO8" s="12"/>
      <c r="BP8" s="3"/>
      <c r="BQ8" s="12"/>
      <c r="BR8" s="3"/>
      <c r="BS8" s="12"/>
      <c r="BT8" s="3"/>
      <c r="BU8" s="12"/>
      <c r="BV8" s="3"/>
      <c r="BW8" s="12"/>
      <c r="BX8" s="3"/>
      <c r="BY8" s="12"/>
      <c r="BZ8" s="3"/>
      <c r="CA8" s="12"/>
      <c r="CB8" s="3"/>
      <c r="CC8" s="12"/>
      <c r="CD8" s="3"/>
      <c r="CE8" s="12"/>
      <c r="CF8" s="3"/>
      <c r="CG8" s="12"/>
      <c r="CH8" s="3"/>
      <c r="CI8" s="12"/>
      <c r="CJ8" s="3"/>
      <c r="CK8" s="57"/>
      <c r="CL8" s="5"/>
      <c r="CM8" s="4"/>
    </row>
    <row r="9" spans="1:91" x14ac:dyDescent="0.3">
      <c r="A9" t="s">
        <v>52</v>
      </c>
      <c r="B9" s="1">
        <f>SUM(BB9,CM9,AC9)</f>
        <v>16</v>
      </c>
      <c r="C9" s="10">
        <v>2</v>
      </c>
      <c r="E9" s="12">
        <v>2</v>
      </c>
      <c r="G9" s="12">
        <v>2</v>
      </c>
      <c r="I9" s="12"/>
      <c r="K9" s="12">
        <v>1</v>
      </c>
      <c r="M9" s="12"/>
      <c r="O9" s="12">
        <v>1</v>
      </c>
      <c r="Q9" s="12">
        <v>1</v>
      </c>
      <c r="S9" s="12">
        <v>1</v>
      </c>
      <c r="U9" s="12"/>
      <c r="W9" s="12">
        <v>1</v>
      </c>
      <c r="Y9" s="12"/>
      <c r="AA9" s="12">
        <v>1</v>
      </c>
      <c r="AB9" s="5"/>
      <c r="AC9" s="4">
        <f t="shared" si="1"/>
        <v>12</v>
      </c>
      <c r="AD9" s="10"/>
      <c r="AF9" s="12">
        <v>1</v>
      </c>
      <c r="AH9" s="12">
        <v>1</v>
      </c>
      <c r="AJ9" s="12">
        <v>1</v>
      </c>
      <c r="AL9" s="12">
        <v>1</v>
      </c>
      <c r="AM9" s="3"/>
      <c r="AN9" s="12"/>
      <c r="AO9" s="3"/>
      <c r="AP9" s="12"/>
      <c r="AQ9" s="3"/>
      <c r="AR9" s="12"/>
      <c r="AS9" s="3"/>
      <c r="AT9" s="12"/>
      <c r="AU9" s="3"/>
      <c r="AV9" s="12"/>
      <c r="AW9" s="3"/>
      <c r="AX9" s="12"/>
      <c r="AY9" s="3"/>
      <c r="AZ9" s="12"/>
      <c r="BA9" s="5"/>
      <c r="BB9" s="4">
        <f t="shared" si="2"/>
        <v>4</v>
      </c>
      <c r="BC9" s="10"/>
      <c r="BD9" s="3"/>
      <c r="BE9" s="12"/>
      <c r="BF9" s="3"/>
      <c r="BG9" s="12"/>
      <c r="BH9" s="3"/>
      <c r="BI9" s="12"/>
      <c r="BJ9" s="3"/>
      <c r="BK9" s="12"/>
      <c r="BL9" s="3"/>
      <c r="BM9" s="12"/>
      <c r="BN9" s="3"/>
      <c r="BO9" s="12"/>
      <c r="BP9" s="3"/>
      <c r="BQ9" s="12"/>
      <c r="BR9" s="3"/>
      <c r="BS9" s="12"/>
      <c r="BT9" s="3"/>
      <c r="BU9" s="12"/>
      <c r="BV9" s="3"/>
      <c r="BW9" s="12"/>
      <c r="BX9" s="3"/>
      <c r="BY9" s="12"/>
      <c r="BZ9" s="3"/>
      <c r="CA9" s="12"/>
      <c r="CB9" s="3"/>
      <c r="CC9" s="12"/>
      <c r="CD9" s="3"/>
      <c r="CE9" s="12"/>
      <c r="CF9" s="3"/>
      <c r="CG9" s="12"/>
      <c r="CH9" s="3"/>
      <c r="CI9" s="12"/>
      <c r="CJ9" s="3"/>
      <c r="CK9" s="57"/>
      <c r="CL9" s="5"/>
      <c r="CM9" s="4">
        <f t="shared" si="3"/>
        <v>0</v>
      </c>
    </row>
    <row r="10" spans="1:91" x14ac:dyDescent="0.3">
      <c r="A10" t="s">
        <v>53</v>
      </c>
      <c r="B10" s="1">
        <f t="shared" ref="B10:B18" si="4">SUM(BB10,CM10,AC10)</f>
        <v>18</v>
      </c>
      <c r="C10" s="10"/>
      <c r="E10" s="12"/>
      <c r="G10" s="12"/>
      <c r="I10" s="12"/>
      <c r="K10" s="12"/>
      <c r="M10" s="12"/>
      <c r="O10" s="12"/>
      <c r="Q10" s="12"/>
      <c r="S10" s="12">
        <v>1</v>
      </c>
      <c r="U10" s="12"/>
      <c r="W10" s="12"/>
      <c r="Y10" s="12">
        <v>1</v>
      </c>
      <c r="AA10" s="12"/>
      <c r="AB10" s="5"/>
      <c r="AC10" s="4">
        <f t="shared" si="1"/>
        <v>2</v>
      </c>
      <c r="AD10" s="10"/>
      <c r="AF10" s="12"/>
      <c r="AH10" s="12"/>
      <c r="AJ10" s="12"/>
      <c r="AL10" s="12"/>
      <c r="AM10" s="3"/>
      <c r="AN10" s="12"/>
      <c r="AO10" s="3"/>
      <c r="AP10" s="12"/>
      <c r="AQ10" s="3"/>
      <c r="AR10" s="12">
        <v>2</v>
      </c>
      <c r="AS10" s="3"/>
      <c r="AT10" s="12">
        <v>2</v>
      </c>
      <c r="AU10" s="3"/>
      <c r="AV10" s="12">
        <v>2</v>
      </c>
      <c r="AW10" s="3"/>
      <c r="AX10" s="12">
        <v>2</v>
      </c>
      <c r="AY10" s="3"/>
      <c r="AZ10" s="12">
        <v>2</v>
      </c>
      <c r="BA10" s="5"/>
      <c r="BB10" s="4">
        <f t="shared" si="2"/>
        <v>10</v>
      </c>
      <c r="BC10" s="10"/>
      <c r="BD10" s="3"/>
      <c r="BE10" s="12"/>
      <c r="BF10" s="3"/>
      <c r="BG10" s="12"/>
      <c r="BH10" s="3"/>
      <c r="BI10" s="12"/>
      <c r="BJ10" s="3"/>
      <c r="BK10" s="12">
        <v>2</v>
      </c>
      <c r="BL10" s="3"/>
      <c r="BM10" s="12">
        <v>2</v>
      </c>
      <c r="BN10" s="3"/>
      <c r="BO10" s="12">
        <v>2</v>
      </c>
      <c r="BP10" s="3"/>
      <c r="BQ10" s="12"/>
      <c r="BR10" s="3"/>
      <c r="BS10" s="12"/>
      <c r="BT10" s="3"/>
      <c r="BU10" s="12"/>
      <c r="BV10" s="3"/>
      <c r="BW10" s="12"/>
      <c r="BX10" s="3"/>
      <c r="BY10" s="12"/>
      <c r="BZ10" s="3"/>
      <c r="CA10" s="12"/>
      <c r="CB10" s="3"/>
      <c r="CC10" s="12"/>
      <c r="CD10" s="3"/>
      <c r="CE10" s="12"/>
      <c r="CF10" s="3"/>
      <c r="CG10" s="12"/>
      <c r="CH10" s="3"/>
      <c r="CI10" s="12"/>
      <c r="CJ10" s="3"/>
      <c r="CK10" s="57"/>
      <c r="CL10" s="5"/>
      <c r="CM10" s="4">
        <f t="shared" si="3"/>
        <v>6</v>
      </c>
    </row>
    <row r="11" spans="1:91" x14ac:dyDescent="0.3">
      <c r="A11" t="s">
        <v>54</v>
      </c>
      <c r="B11" s="1">
        <f t="shared" si="4"/>
        <v>41</v>
      </c>
      <c r="C11" s="10">
        <v>1</v>
      </c>
      <c r="E11" s="12"/>
      <c r="G11" s="12">
        <v>2</v>
      </c>
      <c r="I11" s="12">
        <v>2</v>
      </c>
      <c r="K11" s="12">
        <v>2</v>
      </c>
      <c r="M11" s="12">
        <v>1</v>
      </c>
      <c r="O11" s="12"/>
      <c r="Q11" s="12"/>
      <c r="S11" s="12">
        <v>1</v>
      </c>
      <c r="U11" s="12"/>
      <c r="W11" s="12">
        <v>1</v>
      </c>
      <c r="Y11" s="12"/>
      <c r="AA11" s="12"/>
      <c r="AB11" s="5"/>
      <c r="AC11" s="4">
        <f t="shared" si="1"/>
        <v>10</v>
      </c>
      <c r="AD11" s="10">
        <v>1</v>
      </c>
      <c r="AF11" s="12">
        <v>2</v>
      </c>
      <c r="AH11" s="12">
        <v>1</v>
      </c>
      <c r="AJ11" s="12"/>
      <c r="AL11" s="12">
        <v>2</v>
      </c>
      <c r="AM11" s="3"/>
      <c r="AN11" s="12">
        <v>1</v>
      </c>
      <c r="AO11" s="3"/>
      <c r="AP11" s="12">
        <v>1</v>
      </c>
      <c r="AQ11" s="3"/>
      <c r="AR11" s="12"/>
      <c r="AS11" s="3"/>
      <c r="AT11" s="12"/>
      <c r="AU11" s="3"/>
      <c r="AV11" s="12"/>
      <c r="AW11" s="3"/>
      <c r="AX11" s="12">
        <v>1</v>
      </c>
      <c r="AY11" s="3"/>
      <c r="AZ11" s="12">
        <v>1</v>
      </c>
      <c r="BA11" s="5"/>
      <c r="BB11" s="4">
        <f t="shared" si="2"/>
        <v>10</v>
      </c>
      <c r="BC11" s="10">
        <v>2</v>
      </c>
      <c r="BD11" s="3"/>
      <c r="BE11" s="12">
        <v>1</v>
      </c>
      <c r="BF11" s="3"/>
      <c r="BG11" s="12">
        <v>1</v>
      </c>
      <c r="BH11" s="3"/>
      <c r="BI11" s="12"/>
      <c r="BJ11" s="3"/>
      <c r="BK11" s="12">
        <v>1</v>
      </c>
      <c r="BL11" s="3"/>
      <c r="BM11" s="12">
        <v>1</v>
      </c>
      <c r="BN11" s="3"/>
      <c r="BO11" s="12">
        <v>1</v>
      </c>
      <c r="BP11" s="3"/>
      <c r="BQ11" s="12"/>
      <c r="BR11" s="3"/>
      <c r="BS11" s="12">
        <v>2</v>
      </c>
      <c r="BT11" s="3"/>
      <c r="BU11" s="12">
        <v>2</v>
      </c>
      <c r="BV11" s="3"/>
      <c r="BW11" s="12">
        <v>2</v>
      </c>
      <c r="BX11" s="3"/>
      <c r="BY11" s="12"/>
      <c r="BZ11" s="3"/>
      <c r="CA11" s="12">
        <v>1</v>
      </c>
      <c r="CB11" s="3"/>
      <c r="CC11" s="57">
        <v>2</v>
      </c>
      <c r="CD11" s="3"/>
      <c r="CE11" s="57">
        <v>1</v>
      </c>
      <c r="CF11" s="3"/>
      <c r="CG11" s="12">
        <v>2</v>
      </c>
      <c r="CH11" s="3"/>
      <c r="CI11" s="57">
        <v>1</v>
      </c>
      <c r="CJ11" s="3"/>
      <c r="CK11" s="57">
        <v>1</v>
      </c>
      <c r="CL11" s="5"/>
      <c r="CM11" s="4">
        <f t="shared" si="3"/>
        <v>21</v>
      </c>
    </row>
    <row r="12" spans="1:91" x14ac:dyDescent="0.3">
      <c r="A12" t="s">
        <v>55</v>
      </c>
      <c r="B12" s="1">
        <f t="shared" si="4"/>
        <v>42</v>
      </c>
      <c r="C12" s="10"/>
      <c r="E12" s="12"/>
      <c r="G12" s="12">
        <v>1</v>
      </c>
      <c r="I12" s="12">
        <v>1</v>
      </c>
      <c r="K12" s="12">
        <v>1</v>
      </c>
      <c r="M12" s="12"/>
      <c r="O12" s="12"/>
      <c r="Q12" s="12"/>
      <c r="S12" s="57">
        <v>1</v>
      </c>
      <c r="U12" s="12">
        <v>2</v>
      </c>
      <c r="W12" s="12">
        <v>2</v>
      </c>
      <c r="Y12" s="57">
        <v>1</v>
      </c>
      <c r="AA12" s="12">
        <v>2</v>
      </c>
      <c r="AB12" s="5"/>
      <c r="AC12" s="4">
        <f t="shared" si="1"/>
        <v>11</v>
      </c>
      <c r="AD12" s="10">
        <v>1</v>
      </c>
      <c r="AF12" s="12">
        <v>1</v>
      </c>
      <c r="AH12" s="12">
        <v>1</v>
      </c>
      <c r="AJ12" s="12"/>
      <c r="AL12" s="12">
        <v>2</v>
      </c>
      <c r="AM12" s="3"/>
      <c r="AN12" s="12">
        <v>1</v>
      </c>
      <c r="AO12" s="3"/>
      <c r="AP12" s="12">
        <v>1</v>
      </c>
      <c r="AQ12" s="3"/>
      <c r="AR12" s="12"/>
      <c r="AS12" s="3"/>
      <c r="AT12" s="12"/>
      <c r="AU12" s="3"/>
      <c r="AV12" s="12"/>
      <c r="AW12" s="3"/>
      <c r="AX12" s="12">
        <v>1</v>
      </c>
      <c r="AY12" s="3"/>
      <c r="AZ12" s="12"/>
      <c r="BA12" s="5"/>
      <c r="BB12" s="4">
        <f t="shared" si="2"/>
        <v>8</v>
      </c>
      <c r="BC12" s="10">
        <v>2</v>
      </c>
      <c r="BD12" s="3"/>
      <c r="BE12" s="12">
        <v>2</v>
      </c>
      <c r="BF12" s="3"/>
      <c r="BG12" s="12">
        <v>2</v>
      </c>
      <c r="BH12" s="3"/>
      <c r="BI12" s="12">
        <v>1</v>
      </c>
      <c r="BJ12" s="3"/>
      <c r="BK12" s="12">
        <v>1</v>
      </c>
      <c r="BL12" s="3"/>
      <c r="BM12" s="12">
        <v>1</v>
      </c>
      <c r="BN12" s="3"/>
      <c r="BO12" s="12">
        <v>1</v>
      </c>
      <c r="BP12" s="3"/>
      <c r="BQ12" s="12"/>
      <c r="BR12" s="3"/>
      <c r="BS12" s="12">
        <v>2</v>
      </c>
      <c r="BT12" s="3"/>
      <c r="BU12" s="12">
        <v>2</v>
      </c>
      <c r="BV12" s="3"/>
      <c r="BW12" s="12">
        <v>2</v>
      </c>
      <c r="BX12" s="3"/>
      <c r="BY12" s="12">
        <v>1</v>
      </c>
      <c r="BZ12" s="3"/>
      <c r="CA12" s="12">
        <v>1</v>
      </c>
      <c r="CB12" s="3"/>
      <c r="CC12" s="57">
        <v>2</v>
      </c>
      <c r="CD12" s="3"/>
      <c r="CE12" s="57">
        <v>0</v>
      </c>
      <c r="CF12" s="3"/>
      <c r="CG12" s="57">
        <v>1</v>
      </c>
      <c r="CH12" s="3"/>
      <c r="CI12" s="57">
        <v>1</v>
      </c>
      <c r="CJ12" s="3"/>
      <c r="CK12" s="57">
        <v>1</v>
      </c>
      <c r="CL12" s="5"/>
      <c r="CM12" s="4">
        <f t="shared" si="3"/>
        <v>23</v>
      </c>
    </row>
    <row r="13" spans="1:91" x14ac:dyDescent="0.3">
      <c r="A13" t="s">
        <v>56</v>
      </c>
      <c r="B13" s="1">
        <f t="shared" si="4"/>
        <v>10</v>
      </c>
      <c r="C13" s="10"/>
      <c r="E13" s="12"/>
      <c r="G13" s="12">
        <v>1</v>
      </c>
      <c r="I13" s="12"/>
      <c r="K13" s="12"/>
      <c r="M13" s="12"/>
      <c r="O13" s="12"/>
      <c r="Q13" s="12"/>
      <c r="S13" s="12"/>
      <c r="U13" s="12"/>
      <c r="W13" s="12"/>
      <c r="Y13" s="12"/>
      <c r="AA13" s="12"/>
      <c r="AB13" s="5"/>
      <c r="AC13" s="4">
        <f t="shared" si="1"/>
        <v>1</v>
      </c>
      <c r="AD13" s="10">
        <v>1</v>
      </c>
      <c r="AF13" s="12">
        <v>1</v>
      </c>
      <c r="AH13" s="12"/>
      <c r="AJ13" s="12"/>
      <c r="AL13" s="12">
        <v>1</v>
      </c>
      <c r="AM13" s="3"/>
      <c r="AN13" s="12"/>
      <c r="AO13" s="3"/>
      <c r="AP13" s="12"/>
      <c r="AQ13" s="3"/>
      <c r="AR13" s="12"/>
      <c r="AS13" s="3"/>
      <c r="AT13" s="12"/>
      <c r="AU13" s="3"/>
      <c r="AV13" s="12"/>
      <c r="AW13" s="3"/>
      <c r="AX13" s="12"/>
      <c r="AY13" s="3"/>
      <c r="AZ13" s="12"/>
      <c r="BA13" s="5"/>
      <c r="BB13" s="4">
        <f t="shared" si="2"/>
        <v>3</v>
      </c>
      <c r="BC13" s="10">
        <v>1</v>
      </c>
      <c r="BD13" s="3"/>
      <c r="BE13" s="12">
        <v>1</v>
      </c>
      <c r="BF13" s="3"/>
      <c r="BG13" s="12">
        <v>1</v>
      </c>
      <c r="BH13" s="3"/>
      <c r="BI13" s="12"/>
      <c r="BJ13" s="3"/>
      <c r="BK13" s="12"/>
      <c r="BL13" s="3"/>
      <c r="BM13" s="12"/>
      <c r="BN13" s="3"/>
      <c r="BO13" s="12"/>
      <c r="BP13" s="3"/>
      <c r="BQ13" s="12"/>
      <c r="BR13" s="3"/>
      <c r="BS13" s="12"/>
      <c r="BT13" s="3"/>
      <c r="BU13" s="12"/>
      <c r="BV13" s="3"/>
      <c r="BW13" s="12"/>
      <c r="BX13" s="3"/>
      <c r="BY13" s="57">
        <v>0</v>
      </c>
      <c r="BZ13" s="3"/>
      <c r="CA13" s="57">
        <v>0</v>
      </c>
      <c r="CB13" s="3"/>
      <c r="CC13" s="57">
        <v>0</v>
      </c>
      <c r="CD13" s="3"/>
      <c r="CE13" s="57">
        <v>1</v>
      </c>
      <c r="CF13" s="3"/>
      <c r="CG13" s="12">
        <v>1</v>
      </c>
      <c r="CH13" s="3"/>
      <c r="CI13" s="57">
        <v>1</v>
      </c>
      <c r="CJ13" s="3"/>
      <c r="CK13" s="57"/>
      <c r="CL13" s="5"/>
      <c r="CM13" s="4">
        <f t="shared" si="3"/>
        <v>6</v>
      </c>
    </row>
    <row r="14" spans="1:91" x14ac:dyDescent="0.3">
      <c r="A14" t="s">
        <v>57</v>
      </c>
      <c r="B14" s="1">
        <f t="shared" si="4"/>
        <v>16</v>
      </c>
      <c r="C14" s="10"/>
      <c r="E14" s="12"/>
      <c r="G14" s="12"/>
      <c r="I14" s="12"/>
      <c r="K14" s="12"/>
      <c r="M14" s="12"/>
      <c r="O14" s="12"/>
      <c r="Q14" s="12"/>
      <c r="S14" s="12"/>
      <c r="U14" s="12"/>
      <c r="W14" s="12"/>
      <c r="Y14" s="12"/>
      <c r="AA14" s="12"/>
      <c r="AB14" s="5"/>
      <c r="AC14" s="4">
        <f t="shared" si="1"/>
        <v>0</v>
      </c>
      <c r="AD14" s="10"/>
      <c r="AF14" s="12"/>
      <c r="AH14" s="12"/>
      <c r="AJ14" s="12"/>
      <c r="AL14" s="12"/>
      <c r="AM14" s="3"/>
      <c r="AN14" s="12"/>
      <c r="AO14" s="3"/>
      <c r="AP14" s="12"/>
      <c r="AQ14" s="3"/>
      <c r="AR14" s="12">
        <v>2</v>
      </c>
      <c r="AS14" s="3"/>
      <c r="AT14" s="12">
        <v>2</v>
      </c>
      <c r="AU14" s="3"/>
      <c r="AV14" s="12"/>
      <c r="AW14" s="3"/>
      <c r="AX14" s="12">
        <v>1</v>
      </c>
      <c r="AY14" s="3"/>
      <c r="AZ14" s="12">
        <v>1</v>
      </c>
      <c r="BA14" s="5"/>
      <c r="BB14" s="4">
        <f t="shared" si="2"/>
        <v>6</v>
      </c>
      <c r="BC14" s="10"/>
      <c r="BD14" s="3"/>
      <c r="BE14" s="12"/>
      <c r="BF14" s="3"/>
      <c r="BG14" s="12"/>
      <c r="BH14" s="3"/>
      <c r="BI14" s="12"/>
      <c r="BJ14" s="3"/>
      <c r="BK14" s="57">
        <v>2</v>
      </c>
      <c r="BL14" s="3"/>
      <c r="BM14" s="12">
        <v>2</v>
      </c>
      <c r="BN14" s="3"/>
      <c r="BO14" s="12">
        <v>2</v>
      </c>
      <c r="BP14" s="3"/>
      <c r="BQ14" s="12">
        <v>1</v>
      </c>
      <c r="BR14" s="3"/>
      <c r="BS14" s="12"/>
      <c r="BT14" s="3"/>
      <c r="BU14" s="12"/>
      <c r="BV14" s="3"/>
      <c r="BW14" s="12"/>
      <c r="BX14" s="3"/>
      <c r="BY14" s="12"/>
      <c r="BZ14" s="3"/>
      <c r="CA14" s="12"/>
      <c r="CB14" s="3"/>
      <c r="CC14" s="12"/>
      <c r="CD14" s="3"/>
      <c r="CE14" s="12"/>
      <c r="CF14" s="3"/>
      <c r="CG14" s="57">
        <v>2</v>
      </c>
      <c r="CH14" s="3"/>
      <c r="CI14" s="57">
        <v>1</v>
      </c>
      <c r="CJ14" s="3"/>
      <c r="CK14" s="57"/>
      <c r="CL14" s="5"/>
      <c r="CM14" s="4">
        <f t="shared" si="3"/>
        <v>10</v>
      </c>
    </row>
    <row r="15" spans="1:91" x14ac:dyDescent="0.3">
      <c r="A15" t="s">
        <v>58</v>
      </c>
      <c r="B15" s="1">
        <f t="shared" si="4"/>
        <v>20</v>
      </c>
      <c r="C15" s="10"/>
      <c r="E15" s="12"/>
      <c r="G15" s="12"/>
      <c r="I15" s="12"/>
      <c r="K15" s="12"/>
      <c r="M15" s="12"/>
      <c r="O15" s="12"/>
      <c r="Q15" s="12"/>
      <c r="S15" s="12"/>
      <c r="U15" s="12"/>
      <c r="W15" s="12"/>
      <c r="Y15" s="12"/>
      <c r="AA15" s="12"/>
      <c r="AB15" s="5"/>
      <c r="AC15" s="4">
        <f t="shared" si="1"/>
        <v>0</v>
      </c>
      <c r="AD15" s="10"/>
      <c r="AF15" s="12"/>
      <c r="AH15" s="12"/>
      <c r="AJ15" s="12"/>
      <c r="AL15" s="12">
        <v>1</v>
      </c>
      <c r="AM15" s="3"/>
      <c r="AN15" s="57">
        <v>1</v>
      </c>
      <c r="AO15" s="3"/>
      <c r="AP15" s="12">
        <v>1</v>
      </c>
      <c r="AQ15" s="3"/>
      <c r="AR15" s="12"/>
      <c r="AS15" s="3"/>
      <c r="AT15" s="12"/>
      <c r="AU15" s="3"/>
      <c r="AV15" s="12"/>
      <c r="AW15" s="3"/>
      <c r="AX15" s="12"/>
      <c r="AY15" s="3"/>
      <c r="AZ15" s="12"/>
      <c r="BA15" s="5"/>
      <c r="BB15" s="4">
        <f t="shared" si="2"/>
        <v>3</v>
      </c>
      <c r="BC15" s="10"/>
      <c r="BD15" s="3"/>
      <c r="BE15" s="12"/>
      <c r="BF15" s="3"/>
      <c r="BG15" s="12"/>
      <c r="BH15" s="3"/>
      <c r="BI15" s="12"/>
      <c r="BJ15" s="3"/>
      <c r="BK15" s="12"/>
      <c r="BL15" s="3"/>
      <c r="BM15" s="12"/>
      <c r="BN15" s="3"/>
      <c r="BO15" s="12"/>
      <c r="BP15" s="3"/>
      <c r="BQ15" s="12"/>
      <c r="BR15" s="3"/>
      <c r="BS15" s="12">
        <v>2</v>
      </c>
      <c r="BT15" s="3"/>
      <c r="BU15" s="12">
        <v>2</v>
      </c>
      <c r="BV15" s="3"/>
      <c r="BW15" s="12">
        <v>2</v>
      </c>
      <c r="BX15" s="3"/>
      <c r="BY15" s="57">
        <v>1</v>
      </c>
      <c r="BZ15" s="3"/>
      <c r="CA15" s="57">
        <v>2</v>
      </c>
      <c r="CB15" s="3"/>
      <c r="CC15" s="57">
        <v>2</v>
      </c>
      <c r="CD15" s="3"/>
      <c r="CE15" s="57">
        <v>2</v>
      </c>
      <c r="CF15" s="3"/>
      <c r="CG15" s="12">
        <v>2</v>
      </c>
      <c r="CH15" s="3"/>
      <c r="CI15" s="57">
        <v>1</v>
      </c>
      <c r="CJ15" s="3"/>
      <c r="CK15" s="57">
        <v>1</v>
      </c>
      <c r="CL15" s="5"/>
      <c r="CM15" s="4">
        <f t="shared" si="3"/>
        <v>17</v>
      </c>
    </row>
    <row r="16" spans="1:91" x14ac:dyDescent="0.3">
      <c r="A16" t="s">
        <v>59</v>
      </c>
      <c r="B16" s="1">
        <f t="shared" si="4"/>
        <v>10</v>
      </c>
      <c r="C16" s="10"/>
      <c r="E16" s="12"/>
      <c r="G16" s="12"/>
      <c r="I16" s="12"/>
      <c r="K16" s="12"/>
      <c r="M16" s="12"/>
      <c r="O16" s="12"/>
      <c r="Q16" s="12"/>
      <c r="S16" s="12"/>
      <c r="U16" s="12"/>
      <c r="W16" s="12"/>
      <c r="Y16" s="12"/>
      <c r="AA16" s="12"/>
      <c r="AB16" s="5"/>
      <c r="AC16" s="4">
        <f t="shared" si="1"/>
        <v>0</v>
      </c>
      <c r="AD16" s="10"/>
      <c r="AF16" s="12"/>
      <c r="AH16" s="12"/>
      <c r="AJ16" s="12"/>
      <c r="AL16" s="12"/>
      <c r="AM16" s="3"/>
      <c r="AN16" s="12"/>
      <c r="AO16" s="3"/>
      <c r="AP16" s="12"/>
      <c r="AQ16" s="3"/>
      <c r="AR16" s="12"/>
      <c r="AS16" s="3"/>
      <c r="AT16" s="12"/>
      <c r="AU16" s="3"/>
      <c r="AV16" s="12"/>
      <c r="AW16" s="3"/>
      <c r="AX16" s="12">
        <v>1</v>
      </c>
      <c r="AY16" s="3"/>
      <c r="AZ16" s="12"/>
      <c r="BA16" s="5"/>
      <c r="BB16" s="4">
        <f t="shared" si="2"/>
        <v>1</v>
      </c>
      <c r="BC16" s="10">
        <v>2</v>
      </c>
      <c r="BD16" s="3"/>
      <c r="BE16" s="57">
        <v>2</v>
      </c>
      <c r="BF16" s="3"/>
      <c r="BG16" s="12">
        <v>2</v>
      </c>
      <c r="BH16" s="3"/>
      <c r="BI16" s="12">
        <v>2</v>
      </c>
      <c r="BJ16" s="3"/>
      <c r="BK16" s="57">
        <v>0</v>
      </c>
      <c r="BL16" s="3"/>
      <c r="BM16" s="12"/>
      <c r="BN16" s="3"/>
      <c r="BO16" s="12"/>
      <c r="BP16" s="3"/>
      <c r="BQ16" s="12"/>
      <c r="BR16" s="3"/>
      <c r="BS16" s="12"/>
      <c r="BT16" s="3"/>
      <c r="BU16" s="12"/>
      <c r="BV16" s="3"/>
      <c r="BW16" s="12"/>
      <c r="BX16" s="3"/>
      <c r="BY16" s="12"/>
      <c r="BZ16" s="3"/>
      <c r="CA16" s="12"/>
      <c r="CB16" s="3"/>
      <c r="CC16" s="12"/>
      <c r="CD16" s="3"/>
      <c r="CE16" s="12"/>
      <c r="CF16" s="3"/>
      <c r="CG16" s="12"/>
      <c r="CH16" s="3"/>
      <c r="CI16" s="57">
        <v>1</v>
      </c>
      <c r="CJ16" s="3"/>
      <c r="CK16" s="57"/>
      <c r="CL16" s="5"/>
      <c r="CM16" s="4">
        <f t="shared" si="3"/>
        <v>9</v>
      </c>
    </row>
    <row r="17" spans="1:91" x14ac:dyDescent="0.3">
      <c r="A17" t="s">
        <v>60</v>
      </c>
      <c r="B17" s="1">
        <f t="shared" si="4"/>
        <v>15</v>
      </c>
      <c r="C17" s="10"/>
      <c r="E17" s="12"/>
      <c r="G17" s="12"/>
      <c r="I17" s="12"/>
      <c r="K17" s="12"/>
      <c r="M17" s="12"/>
      <c r="O17" s="12"/>
      <c r="Q17" s="12"/>
      <c r="S17" s="12"/>
      <c r="U17" s="12"/>
      <c r="W17" s="12"/>
      <c r="Y17" s="12">
        <v>1</v>
      </c>
      <c r="AA17" s="12"/>
      <c r="AB17" s="5"/>
      <c r="AC17" s="4">
        <f t="shared" si="1"/>
        <v>1</v>
      </c>
      <c r="AD17" s="10"/>
      <c r="AF17" s="12"/>
      <c r="AH17" s="12"/>
      <c r="AJ17" s="12"/>
      <c r="AL17" s="12"/>
      <c r="AM17" s="3"/>
      <c r="AN17" s="12"/>
      <c r="AO17" s="3"/>
      <c r="AP17" s="12"/>
      <c r="AQ17" s="3"/>
      <c r="AR17" s="12">
        <v>1</v>
      </c>
      <c r="AS17" s="3"/>
      <c r="AT17" s="12">
        <v>1</v>
      </c>
      <c r="AU17" s="3"/>
      <c r="AV17" s="12"/>
      <c r="AW17" s="3"/>
      <c r="AX17" s="12">
        <v>1</v>
      </c>
      <c r="AY17" s="3"/>
      <c r="AZ17" s="12">
        <v>2</v>
      </c>
      <c r="BA17" s="5"/>
      <c r="BB17" s="4">
        <f t="shared" si="2"/>
        <v>5</v>
      </c>
      <c r="BC17" s="10"/>
      <c r="BD17" s="3"/>
      <c r="BE17" s="12"/>
      <c r="BF17" s="3"/>
      <c r="BG17" s="12"/>
      <c r="BH17" s="3"/>
      <c r="BI17" s="12"/>
      <c r="BJ17" s="3"/>
      <c r="BK17" s="57">
        <v>2</v>
      </c>
      <c r="BL17" s="3"/>
      <c r="BM17" s="12">
        <v>2</v>
      </c>
      <c r="BN17" s="3"/>
      <c r="BO17" s="12">
        <v>2</v>
      </c>
      <c r="BP17" s="3"/>
      <c r="BQ17" s="12">
        <v>1</v>
      </c>
      <c r="BR17" s="3"/>
      <c r="BS17" s="12"/>
      <c r="BT17" s="3"/>
      <c r="BU17" s="12"/>
      <c r="BV17" s="3"/>
      <c r="BW17" s="12"/>
      <c r="BX17" s="3"/>
      <c r="BY17" s="12"/>
      <c r="BZ17" s="3"/>
      <c r="CA17" s="12"/>
      <c r="CB17" s="3"/>
      <c r="CC17" s="12"/>
      <c r="CD17" s="3"/>
      <c r="CE17" s="12"/>
      <c r="CF17" s="3"/>
      <c r="CG17" s="12"/>
      <c r="CH17" s="3"/>
      <c r="CI17" s="57">
        <v>2</v>
      </c>
      <c r="CJ17" s="3"/>
      <c r="CK17" s="57"/>
      <c r="CL17" s="5"/>
      <c r="CM17" s="4">
        <f t="shared" si="3"/>
        <v>9</v>
      </c>
    </row>
    <row r="18" spans="1:91" x14ac:dyDescent="0.3">
      <c r="A18" t="s">
        <v>61</v>
      </c>
      <c r="B18" s="1">
        <f t="shared" si="4"/>
        <v>19</v>
      </c>
      <c r="C18" s="11"/>
      <c r="D18" s="6"/>
      <c r="E18" s="13"/>
      <c r="F18" s="6"/>
      <c r="G18" s="13"/>
      <c r="H18" s="6"/>
      <c r="I18" s="13"/>
      <c r="J18" s="6"/>
      <c r="K18" s="13"/>
      <c r="L18" s="6"/>
      <c r="M18" s="13"/>
      <c r="N18" s="6"/>
      <c r="O18" s="13"/>
      <c r="P18" s="6"/>
      <c r="Q18" s="13"/>
      <c r="R18" s="6"/>
      <c r="S18" s="13"/>
      <c r="T18" s="6"/>
      <c r="U18" s="13"/>
      <c r="V18" s="6"/>
      <c r="W18" s="13"/>
      <c r="X18" s="6"/>
      <c r="Y18" s="13"/>
      <c r="Z18" s="6"/>
      <c r="AA18" s="13"/>
      <c r="AB18" s="7"/>
      <c r="AC18" s="4">
        <f t="shared" si="1"/>
        <v>0</v>
      </c>
      <c r="AD18" s="11"/>
      <c r="AE18" s="6"/>
      <c r="AF18" s="13"/>
      <c r="AG18" s="6"/>
      <c r="AH18" s="13"/>
      <c r="AI18" s="6"/>
      <c r="AJ18" s="13"/>
      <c r="AK18" s="6"/>
      <c r="AL18" s="13">
        <v>1</v>
      </c>
      <c r="AM18" s="6"/>
      <c r="AN18" s="58">
        <v>0</v>
      </c>
      <c r="AO18" s="6"/>
      <c r="AP18" s="58">
        <v>1</v>
      </c>
      <c r="AQ18" s="6"/>
      <c r="AR18" s="13"/>
      <c r="AS18" s="6"/>
      <c r="AT18" s="13"/>
      <c r="AU18" s="6"/>
      <c r="AV18" s="13"/>
      <c r="AW18" s="6"/>
      <c r="AX18" s="13"/>
      <c r="AY18" s="6"/>
      <c r="AZ18" s="13"/>
      <c r="BA18" s="7"/>
      <c r="BB18" s="4">
        <f t="shared" si="2"/>
        <v>2</v>
      </c>
      <c r="BC18" s="11"/>
      <c r="BD18" s="6"/>
      <c r="BE18" s="13"/>
      <c r="BF18" s="6"/>
      <c r="BG18" s="13"/>
      <c r="BH18" s="6"/>
      <c r="BI18" s="13"/>
      <c r="BJ18" s="6"/>
      <c r="BK18" s="13"/>
      <c r="BL18" s="6"/>
      <c r="BM18" s="13"/>
      <c r="BN18" s="6"/>
      <c r="BO18" s="13"/>
      <c r="BP18" s="6"/>
      <c r="BQ18" s="13"/>
      <c r="BR18" s="6"/>
      <c r="BS18" s="13">
        <v>2</v>
      </c>
      <c r="BT18" s="6"/>
      <c r="BU18" s="13">
        <v>2</v>
      </c>
      <c r="BV18" s="6"/>
      <c r="BW18" s="13">
        <v>2</v>
      </c>
      <c r="BX18" s="6"/>
      <c r="BY18" s="58">
        <v>2</v>
      </c>
      <c r="BZ18" s="6"/>
      <c r="CA18" s="58">
        <v>2</v>
      </c>
      <c r="CB18" s="6"/>
      <c r="CC18" s="13">
        <v>2</v>
      </c>
      <c r="CD18" s="6"/>
      <c r="CE18" s="13">
        <v>2</v>
      </c>
      <c r="CF18" s="6"/>
      <c r="CG18" s="58">
        <v>0</v>
      </c>
      <c r="CH18" s="6"/>
      <c r="CI18" s="58">
        <v>2</v>
      </c>
      <c r="CJ18" s="6"/>
      <c r="CK18" s="58">
        <v>1</v>
      </c>
      <c r="CL18" s="7"/>
      <c r="CM18" s="4">
        <f t="shared" si="3"/>
        <v>17</v>
      </c>
    </row>
  </sheetData>
  <mergeCells count="48">
    <mergeCell ref="C1:AB1"/>
    <mergeCell ref="AD1:BA1"/>
    <mergeCell ref="BC1:CL1"/>
    <mergeCell ref="CC2:CD2"/>
    <mergeCell ref="CE2:CF2"/>
    <mergeCell ref="CG2:CH2"/>
    <mergeCell ref="CI2:CJ2"/>
    <mergeCell ref="CK2:CL2"/>
    <mergeCell ref="BQ2:BR2"/>
    <mergeCell ref="BS2:BT2"/>
    <mergeCell ref="BU2:BV2"/>
    <mergeCell ref="BW2:BX2"/>
    <mergeCell ref="BY2:BZ2"/>
    <mergeCell ref="CA2:CB2"/>
    <mergeCell ref="BE2:BF2"/>
    <mergeCell ref="BG2:BH2"/>
    <mergeCell ref="BI2:BJ2"/>
    <mergeCell ref="BK2:BL2"/>
    <mergeCell ref="BM2:BN2"/>
    <mergeCell ref="BO2:BP2"/>
    <mergeCell ref="AR2:AS2"/>
    <mergeCell ref="AT2:AU2"/>
    <mergeCell ref="AV2:AW2"/>
    <mergeCell ref="AX2:AY2"/>
    <mergeCell ref="AZ2:BA2"/>
    <mergeCell ref="BC2:BD2"/>
    <mergeCell ref="AP2:AQ2"/>
    <mergeCell ref="S2:T2"/>
    <mergeCell ref="U2:V2"/>
    <mergeCell ref="W2:X2"/>
    <mergeCell ref="Y2:Z2"/>
    <mergeCell ref="AA2:AB2"/>
    <mergeCell ref="AD2:AE2"/>
    <mergeCell ref="AF2:AG2"/>
    <mergeCell ref="AH2:AI2"/>
    <mergeCell ref="AJ2:AK2"/>
    <mergeCell ref="AL2:AM2"/>
    <mergeCell ref="AN2:AO2"/>
    <mergeCell ref="Q2:R2"/>
    <mergeCell ref="A2:B2"/>
    <mergeCell ref="A7:B7"/>
    <mergeCell ref="C2:D2"/>
    <mergeCell ref="E2:F2"/>
    <mergeCell ref="G2:H2"/>
    <mergeCell ref="I2:J2"/>
    <mergeCell ref="K2:L2"/>
    <mergeCell ref="M2:N2"/>
    <mergeCell ref="O2:P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 de produção</vt:lpstr>
      <vt:lpstr>Pequena area não produtiva</vt:lpstr>
      <vt:lpstr>Grande area não produtiva</vt:lpstr>
      <vt:lpstr>Pontuação</vt:lpstr>
      <vt:lpstr>Resultdo</vt:lpstr>
      <vt:lpstr>Pontuação_referencia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da Rocha</dc:creator>
  <cp:lastModifiedBy>Paulo Roberto da Rocha</cp:lastModifiedBy>
  <dcterms:created xsi:type="dcterms:W3CDTF">2025-09-14T12:22:20Z</dcterms:created>
  <dcterms:modified xsi:type="dcterms:W3CDTF">2026-07-09T16:43:26Z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26d3b-6796-48f5-a53d-57abbe9f0891_Enabled">
    <vt:lpwstr>true</vt:lpwstr>
  </property>
  <property fmtid="{D5CDD505-2E9C-101B-9397-08002B2CF9AE}" pid="3" name="MSIP_Label_d2726d3b-6796-48f5-a53d-57abbe9f0891_SetDate">
    <vt:lpwstr>2025-09-14T14:33:15Z</vt:lpwstr>
  </property>
  <property fmtid="{D5CDD505-2E9C-101B-9397-08002B2CF9AE}" pid="4" name="MSIP_Label_d2726d3b-6796-48f5-a53d-57abbe9f0891_Method">
    <vt:lpwstr>Standard</vt:lpwstr>
  </property>
  <property fmtid="{D5CDD505-2E9C-101B-9397-08002B2CF9AE}" pid="5" name="MSIP_Label_d2726d3b-6796-48f5-a53d-57abbe9f0891_Name">
    <vt:lpwstr>Unclassified</vt:lpwstr>
  </property>
  <property fmtid="{D5CDD505-2E9C-101B-9397-08002B2CF9AE}" pid="6" name="MSIP_Label_d2726d3b-6796-48f5-a53d-57abbe9f0891_SiteId">
    <vt:lpwstr>4fc2f3aa-31c4-4dcb-b719-c6c16393e9d3</vt:lpwstr>
  </property>
  <property fmtid="{D5CDD505-2E9C-101B-9397-08002B2CF9AE}" pid="7" name="MSIP_Label_d2726d3b-6796-48f5-a53d-57abbe9f0891_ActionId">
    <vt:lpwstr>8826aebd-9c25-4efb-ab40-64f00b488195</vt:lpwstr>
  </property>
  <property fmtid="{D5CDD505-2E9C-101B-9397-08002B2CF9AE}" pid="8" name="MSIP_Label_d2726d3b-6796-48f5-a53d-57abbe9f0891_ContentBits">
    <vt:lpwstr>0</vt:lpwstr>
  </property>
  <property fmtid="{D5CDD505-2E9C-101B-9397-08002B2CF9AE}" pid="9" name="MSIP_Label_d2726d3b-6796-48f5-a53d-57abbe9f0891_Tag">
    <vt:lpwstr>10, 3, 0, 1</vt:lpwstr>
  </property>
</Properties>
</file>
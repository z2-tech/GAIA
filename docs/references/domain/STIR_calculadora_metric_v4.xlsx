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pcugroup-my.sharepoint.com/personal/prrocha_pcugroup_com/Documents/Área de Trabalho/Tool/Biodiversity_Tool/4-STIR/"/>
    </mc:Choice>
  </mc:AlternateContent>
  <xr:revisionPtr revIDLastSave="0" documentId="8_{2482CC6F-C782-46AA-A1E7-76C020E176F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lculadora" sheetId="1" r:id="rId1"/>
    <sheet name="Resultado" sheetId="4" r:id="rId2"/>
    <sheet name="Biblioteca" sheetId="2" r:id="rId3"/>
    <sheet name="Ajuda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4" l="1"/>
  <c r="C6" i="4"/>
  <c r="H6" i="1"/>
  <c r="F6" i="1"/>
  <c r="J6" i="1" s="1"/>
  <c r="G6" i="1"/>
  <c r="K6" i="1" s="1"/>
  <c r="L25" i="1"/>
  <c r="K25" i="1"/>
  <c r="J25" i="1"/>
  <c r="I25" i="1"/>
  <c r="H25" i="1"/>
  <c r="G25" i="1"/>
  <c r="F25" i="1"/>
  <c r="L24" i="1"/>
  <c r="K24" i="1"/>
  <c r="J24" i="1"/>
  <c r="I24" i="1"/>
  <c r="H24" i="1"/>
  <c r="G24" i="1"/>
  <c r="F24" i="1"/>
  <c r="L23" i="1"/>
  <c r="K23" i="1"/>
  <c r="J23" i="1"/>
  <c r="I23" i="1"/>
  <c r="H23" i="1"/>
  <c r="G23" i="1"/>
  <c r="F23" i="1"/>
  <c r="L22" i="1"/>
  <c r="K22" i="1"/>
  <c r="J22" i="1"/>
  <c r="I22" i="1"/>
  <c r="H22" i="1"/>
  <c r="G22" i="1"/>
  <c r="F22" i="1"/>
  <c r="L21" i="1"/>
  <c r="K21" i="1"/>
  <c r="J21" i="1"/>
  <c r="I21" i="1"/>
  <c r="H21" i="1"/>
  <c r="G21" i="1"/>
  <c r="F21" i="1"/>
  <c r="L20" i="1"/>
  <c r="K20" i="1"/>
  <c r="J20" i="1"/>
  <c r="I20" i="1"/>
  <c r="H20" i="1"/>
  <c r="G20" i="1"/>
  <c r="F20" i="1"/>
  <c r="L19" i="1"/>
  <c r="K19" i="1"/>
  <c r="J19" i="1"/>
  <c r="I19" i="1"/>
  <c r="H19" i="1"/>
  <c r="G19" i="1"/>
  <c r="F19" i="1"/>
  <c r="L18" i="1"/>
  <c r="K18" i="1"/>
  <c r="J18" i="1"/>
  <c r="I18" i="1"/>
  <c r="H18" i="1"/>
  <c r="G18" i="1"/>
  <c r="F18" i="1"/>
  <c r="L17" i="1"/>
  <c r="K17" i="1"/>
  <c r="J17" i="1"/>
  <c r="I17" i="1"/>
  <c r="H17" i="1"/>
  <c r="G17" i="1"/>
  <c r="F17" i="1"/>
  <c r="L16" i="1"/>
  <c r="K16" i="1"/>
  <c r="J16" i="1"/>
  <c r="I16" i="1"/>
  <c r="H16" i="1"/>
  <c r="G16" i="1"/>
  <c r="F16" i="1"/>
  <c r="L15" i="1"/>
  <c r="K15" i="1"/>
  <c r="J15" i="1"/>
  <c r="I15" i="1"/>
  <c r="H15" i="1"/>
  <c r="G15" i="1"/>
  <c r="F15" i="1"/>
  <c r="L14" i="1"/>
  <c r="K14" i="1"/>
  <c r="J14" i="1"/>
  <c r="I14" i="1"/>
  <c r="H14" i="1"/>
  <c r="G14" i="1"/>
  <c r="F14" i="1"/>
  <c r="L13" i="1"/>
  <c r="K13" i="1"/>
  <c r="J13" i="1"/>
  <c r="I13" i="1"/>
  <c r="H13" i="1"/>
  <c r="G13" i="1"/>
  <c r="F13" i="1"/>
  <c r="L12" i="1"/>
  <c r="K12" i="1"/>
  <c r="J12" i="1"/>
  <c r="I12" i="1"/>
  <c r="H12" i="1"/>
  <c r="G12" i="1"/>
  <c r="F12" i="1"/>
  <c r="L11" i="1"/>
  <c r="K11" i="1"/>
  <c r="J11" i="1"/>
  <c r="I11" i="1"/>
  <c r="H11" i="1"/>
  <c r="G11" i="1"/>
  <c r="F11" i="1"/>
  <c r="L10" i="1"/>
  <c r="K10" i="1"/>
  <c r="J10" i="1"/>
  <c r="I10" i="1"/>
  <c r="H10" i="1"/>
  <c r="G10" i="1"/>
  <c r="F10" i="1"/>
  <c r="I9" i="1"/>
  <c r="H9" i="1"/>
  <c r="G9" i="1"/>
  <c r="K9" i="1" s="1"/>
  <c r="F9" i="1"/>
  <c r="J9" i="1" s="1"/>
  <c r="I8" i="1"/>
  <c r="H8" i="1"/>
  <c r="G8" i="1"/>
  <c r="K8" i="1" s="1"/>
  <c r="F8" i="1"/>
  <c r="J8" i="1" s="1"/>
  <c r="I7" i="1"/>
  <c r="H7" i="1"/>
  <c r="G7" i="1"/>
  <c r="K7" i="1" s="1"/>
  <c r="F7" i="1"/>
  <c r="J7" i="1" s="1"/>
  <c r="I6" i="1"/>
  <c r="L6" i="1" l="1"/>
  <c r="L7" i="1"/>
  <c r="L9" i="1"/>
  <c r="L8" i="1"/>
  <c r="L27" i="1" l="1"/>
</calcChain>
</file>

<file path=xl/sharedStrings.xml><?xml version="1.0" encoding="utf-8"?>
<sst xmlns="http://schemas.openxmlformats.org/spreadsheetml/2006/main" count="92" uniqueCount="81">
  <si>
    <t>Calculadora STIR (métrico)</t>
  </si>
  <si>
    <t>Preencha uma linha por operação (do período colheita anterior → colheita atual). O STIR do talhão é a soma das operações.</t>
  </si>
  <si>
    <t>Operação / Implemento</t>
  </si>
  <si>
    <t>Velocidade (km/h)
(input)</t>
  </si>
  <si>
    <t>Profundidade (cm) manual
(opcional)</t>
  </si>
  <si>
    <t>Distúrbio (%) manual
(opcional)</t>
  </si>
  <si>
    <t>Tillage type manual
(opcional)</t>
  </si>
  <si>
    <t>Profundidade final
(cm)</t>
  </si>
  <si>
    <t>Distúrbio final
(%)</t>
  </si>
  <si>
    <t>Tillage type final</t>
  </si>
  <si>
    <t>Velocidade (mph)
(calc)</t>
  </si>
  <si>
    <t>Profundidade (in)
(calc)</t>
  </si>
  <si>
    <t>Distúrbio (fração)
(calc)</t>
  </si>
  <si>
    <t>STIR da operação
(calc)</t>
  </si>
  <si>
    <t>Comentário</t>
  </si>
  <si>
    <t>Arado de aiveca (aracao invertendo)</t>
  </si>
  <si>
    <t>Exemplo: aração</t>
  </si>
  <si>
    <t>Grade aradora pesada (disk harrow)</t>
  </si>
  <si>
    <t>Exemplo: gradagem (operação separada)</t>
  </si>
  <si>
    <t>Subsolador (ripper)</t>
  </si>
  <si>
    <t>Exemplo: subsolagem</t>
  </si>
  <si>
    <t>Plantio direto (semeadora/plantadeira)</t>
  </si>
  <si>
    <t>Exemplo: plantio direto</t>
  </si>
  <si>
    <t>STIR total (soma) →</t>
  </si>
  <si>
    <t>Biblioteca de implementos (valores de referência)</t>
  </si>
  <si>
    <t>Implemento (PT-BR)</t>
  </si>
  <si>
    <t>Categoria</t>
  </si>
  <si>
    <t>Tillage type (valor)</t>
  </si>
  <si>
    <t>Distúrbio (%) (ref.)</t>
  </si>
  <si>
    <t>Profundidade (cm) (ref.)</t>
  </si>
  <si>
    <t>Observações</t>
  </si>
  <si>
    <t>Fonte/nota</t>
  </si>
  <si>
    <t>Aração</t>
  </si>
  <si>
    <t>Inversion + some mixing</t>
  </si>
  <si>
    <t>Tillage type = 1.0 (NRCS)</t>
  </si>
  <si>
    <t>Arado de discos</t>
  </si>
  <si>
    <t>Mixing + some inversion</t>
  </si>
  <si>
    <t>Tillage type = 0.8 (NRCS)</t>
  </si>
  <si>
    <t>Gradagem</t>
  </si>
  <si>
    <t>Mixing only</t>
  </si>
  <si>
    <t>Tillage type = 0.7 (NRCS)</t>
  </si>
  <si>
    <t>Grade niveladora (leve)</t>
  </si>
  <si>
    <t>Mixing only (menor intensidade)</t>
  </si>
  <si>
    <t>Escarificador / chisel</t>
  </si>
  <si>
    <t>Descompactacao</t>
  </si>
  <si>
    <t>Lifting and fracturing</t>
  </si>
  <si>
    <t>Tillage type = 0.4 (NRCS)</t>
  </si>
  <si>
    <t>Lifting and fracturing (faixas)</t>
  </si>
  <si>
    <t>Plantio</t>
  </si>
  <si>
    <t>Baixa perturbacao; ajuste conforme linha/disturbio real</t>
  </si>
  <si>
    <t>Tillage type = 0.15 (NRCS)</t>
  </si>
  <si>
    <t>Rolo faca / rolo compactador</t>
  </si>
  <si>
    <t>Manejo de cobertura</t>
  </si>
  <si>
    <t>Compression</t>
  </si>
  <si>
    <t>Enxada rotativa (rotary hoe)</t>
  </si>
  <si>
    <t>Preparo intenso</t>
  </si>
  <si>
    <t>Mixing only (intenso)</t>
  </si>
  <si>
    <t>STIR (Soil Tillage Intensity Rating) — como é calculado</t>
  </si>
  <si>
    <t>Definição: STIR é um índice numérico que representa a intensidade de preparo/perturbação do solo. O STIR do talhão é a soma do STIR de cada operação no período “colheita anterior → colheita atual”.</t>
  </si>
  <si>
    <t>Fórmula (por operação), conforme fact sheet NRCS/RUSLE2:</t>
  </si>
  <si>
    <t>STIR_op = (Velocidade_mph × 0,5) × (TillageType × 3,25) × (Profundidade_in × 1) × (Distúrbio_%/100 × 1)</t>
  </si>
  <si>
    <t>Nesta planilha você informa velocidade (km/h), profundidade (cm) e % de distúrbio. A planilha converte automaticamente para mph e inches (in) antes do cálculo.</t>
  </si>
  <si>
    <t>TillageType (constantes do documento): 1,0 (inversion + some mixing); 0,8 (mixing + some inversion); 0,7 (mixing only); 0,4 (lifting and fracturing); 0,15 (compression).</t>
  </si>
  <si>
    <t>Importante: “Aração + gradagem” deve ser lançada como DUAS operações em linhas separadas (uma para a aração e outra para a gradagem), pois o STIR total é a soma das operações.</t>
  </si>
  <si>
    <t xml:space="preserve">Preenchimento manual </t>
  </si>
  <si>
    <t>Faixa STIR</t>
  </si>
  <si>
    <t>Classificação</t>
  </si>
  <si>
    <t>Interpretação prática</t>
  </si>
  <si>
    <t>≤ 30</t>
  </si>
  <si>
    <t>🟢 Baixo</t>
  </si>
  <si>
    <t>Plantio Direto / No-Till (pouca perturbação)</t>
  </si>
  <si>
    <t>31 – 80</t>
  </si>
  <si>
    <t>🟡 Médio</t>
  </si>
  <si>
    <t>Sistemas mistos / preparo mínimo</t>
  </si>
  <si>
    <t>&gt; 80</t>
  </si>
  <si>
    <t>🔴 Alto</t>
  </si>
  <si>
    <t>Preparo convencional intenso (ará, gradagem, etc.)</t>
  </si>
  <si>
    <t>Atual</t>
  </si>
  <si>
    <r>
      <rPr>
        <b/>
        <sz val="13.5"/>
        <color rgb="FFFFC000"/>
        <rFont val="Calibri"/>
        <family val="2"/>
        <scheme val="minor"/>
      </rPr>
      <t xml:space="preserve">➜ Indicador de biodiversidade intermediária:     </t>
    </r>
    <r>
      <rPr>
        <b/>
        <sz val="13.5"/>
        <color theme="1"/>
        <rFont val="Calibri"/>
        <family val="2"/>
        <scheme val="minor"/>
      </rPr>
      <t xml:space="preserve">           </t>
    </r>
    <r>
      <rPr>
        <b/>
        <sz val="8"/>
        <color theme="1"/>
        <rFont val="Calibri"/>
        <family val="2"/>
        <scheme val="minor"/>
      </rPr>
      <t xml:space="preserve">Sistemas de transição; Biodiversidade em recuperação; Sistemas mistos (PD + preparo ocasional) </t>
    </r>
    <r>
      <rPr>
        <b/>
        <sz val="10"/>
        <color theme="1"/>
        <rFont val="Calibri"/>
        <family val="2"/>
        <scheme val="minor"/>
      </rPr>
      <t>Justificativa:</t>
    </r>
    <r>
      <rPr>
        <b/>
        <sz val="8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Distúrbios episódicos; Redução parcial de habitats; Comunidades em reorganização
📌 Conceito próximo à Hipótese do Distúrbio Intermediário: Distúrbio moderado → coexistência de grupos funcionais</t>
    </r>
    <r>
      <rPr>
        <b/>
        <sz val="13.5"/>
        <color theme="1"/>
        <rFont val="Calibri"/>
        <family val="2"/>
        <scheme val="minor"/>
      </rPr>
      <t xml:space="preserve">
</t>
    </r>
  </si>
  <si>
    <r>
      <rPr>
        <b/>
        <sz val="13.5"/>
        <color rgb="FF00B050"/>
        <rFont val="Calibri"/>
        <family val="2"/>
        <scheme val="minor"/>
      </rPr>
      <t>➜ Indicador de alto potencial de biodiversidade:</t>
    </r>
    <r>
      <rPr>
        <b/>
        <sz val="13.5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Biodiversidade microbiana do solo; Redes micorrízicas; Macrofauna (minhocas, artrópodes); Estabilidade funcional do solo</t>
    </r>
    <r>
      <rPr>
        <b/>
        <sz val="13.5"/>
        <color theme="1"/>
        <rFont val="Calibri"/>
        <family val="2"/>
        <scheme val="minor"/>
      </rPr>
      <t xml:space="preserve">                                                                            </t>
    </r>
    <r>
      <rPr>
        <b/>
        <sz val="10"/>
        <color theme="1"/>
        <rFont val="Calibri"/>
        <family val="2"/>
        <scheme val="minor"/>
      </rPr>
      <t>Justificativa:</t>
    </r>
    <r>
      <rPr>
        <b/>
        <sz val="13.5"/>
        <color theme="1"/>
        <rFont val="Calibri"/>
        <family val="2"/>
        <scheme val="minor"/>
      </rPr>
      <t xml:space="preserve">                                                                                       </t>
    </r>
    <r>
      <rPr>
        <b/>
        <sz val="8"/>
        <color theme="1"/>
        <rFont val="Calibri"/>
        <family val="2"/>
        <scheme val="minor"/>
      </rPr>
      <t>Baixo revolvimento; Manutenção de habitats; Menor mortalidade física; Maior continuidade temporal</t>
    </r>
  </si>
  <si>
    <r>
      <rPr>
        <b/>
        <sz val="13.5"/>
        <color rgb="FFFF0000"/>
        <rFont val="Calibri"/>
        <family val="2"/>
        <scheme val="minor"/>
      </rPr>
      <t>➜ Indicador de baixo potencial de biodiversidade:</t>
    </r>
    <r>
      <rPr>
        <b/>
        <sz val="13.5"/>
        <color rgb="FFFFC000"/>
        <rFont val="Calibri"/>
        <family val="2"/>
        <scheme val="minor"/>
      </rPr>
      <t xml:space="preserve">    </t>
    </r>
    <r>
      <rPr>
        <b/>
        <sz val="13.5"/>
        <color theme="1"/>
        <rFont val="Calibri"/>
        <family val="2"/>
        <scheme val="minor"/>
      </rPr>
      <t xml:space="preserve">      </t>
    </r>
    <r>
      <rPr>
        <b/>
        <sz val="8"/>
        <color theme="1"/>
        <rFont val="Calibri"/>
        <family val="2"/>
        <scheme val="minor"/>
      </rPr>
      <t xml:space="preserve">Ambientes biologicamente degradados; Baixa estabilidade funcional; Domínio de microrganismos oportunistas)                                                                                                                                         </t>
    </r>
    <r>
      <rPr>
        <b/>
        <sz val="10"/>
        <color theme="1"/>
        <rFont val="Calibri"/>
        <family val="2"/>
        <scheme val="minor"/>
      </rPr>
      <t>Justificativa:</t>
    </r>
    <r>
      <rPr>
        <b/>
        <sz val="8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Revolvimento intenso; Destruição física de habitats; Redução de biomassa microbiana; Perda de continuidade ecológica
📌 Compatível com: Agricultura convencional intensiva; Sistemas altamente mecanizados; Alta dependência de insumos</t>
    </r>
    <r>
      <rPr>
        <b/>
        <sz val="13.5"/>
        <color theme="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</si>
</sst>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  <font>
      <sz val="25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3.5"/>
      <color rgb="FF00B050"/>
      <name val="Calibri"/>
      <family val="2"/>
      <scheme val="minor"/>
    </font>
    <font>
      <b/>
      <sz val="13.5"/>
      <color rgb="FFFFC000"/>
      <name val="Calibri"/>
      <family val="2"/>
      <scheme val="minor"/>
    </font>
    <font>
      <b/>
      <sz val="13.5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 vertical="center" wrapText="1"/>
    </xf>
    <xf numFmtId="0" fontId="0" fillId="4" borderId="0" xfId="0" applyFill="1"/>
    <xf numFmtId="2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2" fontId="4" fillId="3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top" wrapText="1"/>
    </xf>
    <xf numFmtId="2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opLeftCell="B1" workbookViewId="0">
      <pane ySplit="5" topLeftCell="A6" activePane="bottomLeft" state="frozen"/>
      <selection pane="bottomLeft" activeCell="H28" sqref="H28"/>
    </sheetView>
  </sheetViews>
  <sheetFormatPr defaultRowHeight="14.4" x14ac:dyDescent="0.3"/>
  <cols>
    <col min="1" max="1" width="38" customWidth="1"/>
    <col min="2" max="2" width="16" customWidth="1"/>
    <col min="3" max="4" width="18" customWidth="1"/>
    <col min="5" max="10" width="16" customWidth="1"/>
    <col min="11" max="12" width="18" customWidth="1"/>
    <col min="13" max="13" width="28" customWidth="1"/>
  </cols>
  <sheetData>
    <row r="1" spans="1:13" ht="18" x14ac:dyDescent="0.35">
      <c r="A1" s="27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x14ac:dyDescent="0.3">
      <c r="B2" s="11"/>
      <c r="C2" t="s">
        <v>64</v>
      </c>
    </row>
    <row r="3" spans="1:13" x14ac:dyDescent="0.3">
      <c r="A3" s="25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5" spans="1:13" ht="43.2" x14ac:dyDescent="0.3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</row>
    <row r="6" spans="1:13" x14ac:dyDescent="0.3">
      <c r="A6" s="13" t="s">
        <v>15</v>
      </c>
      <c r="B6" s="9">
        <v>5</v>
      </c>
      <c r="C6" s="10"/>
      <c r="D6" s="10">
        <v>100</v>
      </c>
      <c r="E6" s="12">
        <v>1</v>
      </c>
      <c r="F6" s="5">
        <f>IF(A6="","",IF(C6="",IFERROR(VLOOKUP(A6,Biblioteca!$A$4:$G$12,5,FALSE),""),C6))</f>
        <v>25</v>
      </c>
      <c r="G6" s="5">
        <f>IF(A6="","",IF(D6="",IFERROR(VLOOKUP(A6,Biblioteca!$A$4:$G$12,4,FALSE),""),D6))</f>
        <v>100</v>
      </c>
      <c r="H6" s="6">
        <f>IF(A6="","",IF(E6="",IFERROR(VLOOKUP(A6,Biblioteca!$A$4:$G$12,3,FALSE),""),E6))</f>
        <v>1</v>
      </c>
      <c r="I6" s="6">
        <f t="shared" ref="I6:I25" si="0">IF(OR(A6="",B6=""),"",B6/1.609344)</f>
        <v>3.1068559611866697</v>
      </c>
      <c r="J6" s="6">
        <f t="shared" ref="J6:J25" si="1">IF(A6="","",F6/2.54)</f>
        <v>9.8425196850393704</v>
      </c>
      <c r="K6" s="6">
        <f t="shared" ref="K6:K25" si="2">IF(A6="","",G6/100)</f>
        <v>1</v>
      </c>
      <c r="L6" s="4">
        <f>IF(A6="","",(I6*0.5)*(H6*3.25)*(J6)*(K6))</f>
        <v>49.691347804412779</v>
      </c>
      <c r="M6" s="3" t="s">
        <v>16</v>
      </c>
    </row>
    <row r="7" spans="1:13" ht="28.8" x14ac:dyDescent="0.3">
      <c r="A7" s="13" t="s">
        <v>17</v>
      </c>
      <c r="B7" s="9">
        <v>3</v>
      </c>
      <c r="C7" s="10"/>
      <c r="D7" s="10">
        <v>80</v>
      </c>
      <c r="E7" s="12">
        <v>1</v>
      </c>
      <c r="F7" s="5">
        <f>IF(A7="","",IF(C7="",IFERROR(VLOOKUP(A7,Biblioteca!$A$4:$G$12,5,FALSE),""),C7))</f>
        <v>12</v>
      </c>
      <c r="G7" s="5">
        <f>IF(A7="","",IF(D7="",IFERROR(VLOOKUP(A7,Biblioteca!$A$4:$G$12,4,FALSE),""),D7))</f>
        <v>80</v>
      </c>
      <c r="H7" s="6">
        <f>IF(A7="","",IF(E7="",IFERROR(VLOOKUP(A7,Biblioteca!$A$4:$G$12,3,FALSE),""),E7))</f>
        <v>1</v>
      </c>
      <c r="I7" s="6">
        <f t="shared" si="0"/>
        <v>1.8641135767120018</v>
      </c>
      <c r="J7" s="6">
        <f t="shared" si="1"/>
        <v>4.7244094488188972</v>
      </c>
      <c r="K7" s="6">
        <f t="shared" si="2"/>
        <v>0.8</v>
      </c>
      <c r="L7" s="4">
        <f t="shared" ref="L7:L25" si="3">IF(A7="","",(I7*0.5)*(H7*3.25)*(J7)*(K7))</f>
        <v>11.448886534136705</v>
      </c>
      <c r="M7" s="3" t="s">
        <v>18</v>
      </c>
    </row>
    <row r="8" spans="1:13" x14ac:dyDescent="0.3">
      <c r="A8" s="13" t="s">
        <v>19</v>
      </c>
      <c r="B8" s="9">
        <v>2</v>
      </c>
      <c r="C8" s="10"/>
      <c r="D8" s="10">
        <v>20</v>
      </c>
      <c r="E8" s="12">
        <v>0.8</v>
      </c>
      <c r="F8" s="5">
        <f>IF(A8="","",IF(C8="",IFERROR(VLOOKUP(A8,Biblioteca!$A$4:$G$12,5,FALSE),""),C8))</f>
        <v>35</v>
      </c>
      <c r="G8" s="5">
        <f>IF(A8="","",IF(D8="",IFERROR(VLOOKUP(A8,Biblioteca!$A$4:$G$12,4,FALSE),""),D8))</f>
        <v>20</v>
      </c>
      <c r="H8" s="6">
        <f>IF(A8="","",IF(E8="",IFERROR(VLOOKUP(A8,Biblioteca!$A$4:$G$12,3,FALSE),""),E8))</f>
        <v>0.8</v>
      </c>
      <c r="I8" s="6">
        <f t="shared" si="0"/>
        <v>1.2427423844746679</v>
      </c>
      <c r="J8" s="6">
        <f t="shared" si="1"/>
        <v>13.779527559055119</v>
      </c>
      <c r="K8" s="6">
        <f t="shared" si="2"/>
        <v>0.2</v>
      </c>
      <c r="L8" s="4">
        <f t="shared" si="3"/>
        <v>4.4523447632753852</v>
      </c>
      <c r="M8" s="3" t="s">
        <v>20</v>
      </c>
    </row>
    <row r="9" spans="1:13" x14ac:dyDescent="0.3">
      <c r="A9" s="13" t="s">
        <v>35</v>
      </c>
      <c r="B9" s="9">
        <v>1</v>
      </c>
      <c r="C9" s="10"/>
      <c r="D9" s="10">
        <v>1</v>
      </c>
      <c r="E9" s="12">
        <v>0.8</v>
      </c>
      <c r="F9" s="5">
        <f>IF(A9="","",IF(C9="",IFERROR(VLOOKUP(A9,Biblioteca!$A$4:$G$12,5,FALSE),""),C9))</f>
        <v>20</v>
      </c>
      <c r="G9" s="5">
        <f>IF(A9="","",IF(D9="",IFERROR(VLOOKUP(A9,Biblioteca!$A$4:$G$12,4,FALSE),""),D9))</f>
        <v>1</v>
      </c>
      <c r="H9" s="6">
        <f>IF(A9="","",IF(E9="",IFERROR(VLOOKUP(A9,Biblioteca!$A$4:$G$12,3,FALSE),""),E9))</f>
        <v>0.8</v>
      </c>
      <c r="I9" s="6">
        <f t="shared" si="0"/>
        <v>0.62137119223733395</v>
      </c>
      <c r="J9" s="6">
        <f t="shared" si="1"/>
        <v>7.8740157480314963</v>
      </c>
      <c r="K9" s="6">
        <f t="shared" si="2"/>
        <v>0.01</v>
      </c>
      <c r="L9" s="4">
        <f t="shared" si="3"/>
        <v>6.3604925189648359E-2</v>
      </c>
      <c r="M9" s="3" t="s">
        <v>22</v>
      </c>
    </row>
    <row r="10" spans="1:13" x14ac:dyDescent="0.3">
      <c r="A10" s="3"/>
      <c r="B10" s="4"/>
      <c r="C10" s="5"/>
      <c r="D10" s="5"/>
      <c r="E10" s="6"/>
      <c r="F10" s="5" t="str">
        <f>IF(A10="","",IF(C10="",IFERROR(VLOOKUP(A10,Biblioteca!$A$4:$G$12,5,FALSE),""),C10))</f>
        <v/>
      </c>
      <c r="G10" s="5" t="str">
        <f>IF(A10="","",IF(D10="",IFERROR(VLOOKUP(A10,Biblioteca!$A$4:$G$12,4,FALSE),""),D10))</f>
        <v/>
      </c>
      <c r="H10" s="6" t="str">
        <f>IF(A10="","",IF(E10="",IFERROR(VLOOKUP(A10,Biblioteca!$A$4:$G$12,3,FALSE),""),E10))</f>
        <v/>
      </c>
      <c r="I10" s="6" t="str">
        <f t="shared" si="0"/>
        <v/>
      </c>
      <c r="J10" s="6" t="str">
        <f t="shared" si="1"/>
        <v/>
      </c>
      <c r="K10" s="6" t="str">
        <f t="shared" si="2"/>
        <v/>
      </c>
      <c r="L10" s="4" t="str">
        <f t="shared" si="3"/>
        <v/>
      </c>
      <c r="M10" s="3"/>
    </row>
    <row r="11" spans="1:13" x14ac:dyDescent="0.3">
      <c r="A11" s="3"/>
      <c r="B11" s="4"/>
      <c r="C11" s="5"/>
      <c r="D11" s="5"/>
      <c r="E11" s="6"/>
      <c r="F11" s="5" t="str">
        <f>IF(A11="","",IF(C11="",IFERROR(VLOOKUP(A11,Biblioteca!$A$4:$G$12,5,FALSE),""),C11))</f>
        <v/>
      </c>
      <c r="G11" s="5" t="str">
        <f>IF(A11="","",IF(D11="",IFERROR(VLOOKUP(A11,Biblioteca!$A$4:$G$12,4,FALSE),""),D11))</f>
        <v/>
      </c>
      <c r="H11" s="6" t="str">
        <f>IF(A11="","",IF(E11="",IFERROR(VLOOKUP(A11,Biblioteca!$A$4:$G$12,3,FALSE),""),E11))</f>
        <v/>
      </c>
      <c r="I11" s="6" t="str">
        <f t="shared" si="0"/>
        <v/>
      </c>
      <c r="J11" s="6" t="str">
        <f t="shared" si="1"/>
        <v/>
      </c>
      <c r="K11" s="6" t="str">
        <f t="shared" si="2"/>
        <v/>
      </c>
      <c r="L11" s="4" t="str">
        <f t="shared" si="3"/>
        <v/>
      </c>
      <c r="M11" s="3"/>
    </row>
    <row r="12" spans="1:13" x14ac:dyDescent="0.3">
      <c r="A12" s="3"/>
      <c r="B12" s="4"/>
      <c r="C12" s="5"/>
      <c r="D12" s="5"/>
      <c r="E12" s="6"/>
      <c r="F12" s="5" t="str">
        <f>IF(A12="","",IF(C12="",IFERROR(VLOOKUP(A12,Biblioteca!$A$4:$G$12,5,FALSE),""),C12))</f>
        <v/>
      </c>
      <c r="G12" s="5" t="str">
        <f>IF(A12="","",IF(D12="",IFERROR(VLOOKUP(A12,Biblioteca!$A$4:$G$12,4,FALSE),""),D12))</f>
        <v/>
      </c>
      <c r="H12" s="6" t="str">
        <f>IF(A12="","",IF(E12="",IFERROR(VLOOKUP(A12,Biblioteca!$A$4:$G$12,3,FALSE),""),E12))</f>
        <v/>
      </c>
      <c r="I12" s="6" t="str">
        <f t="shared" si="0"/>
        <v/>
      </c>
      <c r="J12" s="6" t="str">
        <f t="shared" si="1"/>
        <v/>
      </c>
      <c r="K12" s="6" t="str">
        <f t="shared" si="2"/>
        <v/>
      </c>
      <c r="L12" s="4" t="str">
        <f t="shared" si="3"/>
        <v/>
      </c>
      <c r="M12" s="3"/>
    </row>
    <row r="13" spans="1:13" x14ac:dyDescent="0.3">
      <c r="A13" s="3"/>
      <c r="B13" s="4"/>
      <c r="C13" s="5"/>
      <c r="D13" s="5"/>
      <c r="E13" s="6"/>
      <c r="F13" s="5" t="str">
        <f>IF(A13="","",IF(C13="",IFERROR(VLOOKUP(A13,Biblioteca!$A$4:$G$12,5,FALSE),""),C13))</f>
        <v/>
      </c>
      <c r="G13" s="5" t="str">
        <f>IF(A13="","",IF(D13="",IFERROR(VLOOKUP(A13,Biblioteca!$A$4:$G$12,4,FALSE),""),D13))</f>
        <v/>
      </c>
      <c r="H13" s="6" t="str">
        <f>IF(A13="","",IF(E13="",IFERROR(VLOOKUP(A13,Biblioteca!$A$4:$G$12,3,FALSE),""),E13))</f>
        <v/>
      </c>
      <c r="I13" s="6" t="str">
        <f t="shared" si="0"/>
        <v/>
      </c>
      <c r="J13" s="6" t="str">
        <f t="shared" si="1"/>
        <v/>
      </c>
      <c r="K13" s="6" t="str">
        <f t="shared" si="2"/>
        <v/>
      </c>
      <c r="L13" s="4" t="str">
        <f t="shared" si="3"/>
        <v/>
      </c>
      <c r="M13" s="3"/>
    </row>
    <row r="14" spans="1:13" x14ac:dyDescent="0.3">
      <c r="A14" s="3"/>
      <c r="B14" s="4"/>
      <c r="C14" s="5"/>
      <c r="D14" s="5"/>
      <c r="E14" s="6"/>
      <c r="F14" s="5" t="str">
        <f>IF(A14="","",IF(C14="",IFERROR(VLOOKUP(A14,Biblioteca!$A$4:$G$12,5,FALSE),""),C14))</f>
        <v/>
      </c>
      <c r="G14" s="5" t="str">
        <f>IF(A14="","",IF(D14="",IFERROR(VLOOKUP(A14,Biblioteca!$A$4:$G$12,4,FALSE),""),D14))</f>
        <v/>
      </c>
      <c r="H14" s="6" t="str">
        <f>IF(A14="","",IF(E14="",IFERROR(VLOOKUP(A14,Biblioteca!$A$4:$G$12,3,FALSE),""),E14))</f>
        <v/>
      </c>
      <c r="I14" s="6" t="str">
        <f t="shared" si="0"/>
        <v/>
      </c>
      <c r="J14" s="6" t="str">
        <f t="shared" si="1"/>
        <v/>
      </c>
      <c r="K14" s="6" t="str">
        <f t="shared" si="2"/>
        <v/>
      </c>
      <c r="L14" s="4" t="str">
        <f t="shared" si="3"/>
        <v/>
      </c>
      <c r="M14" s="3"/>
    </row>
    <row r="15" spans="1:13" x14ac:dyDescent="0.3">
      <c r="A15" s="3"/>
      <c r="B15" s="4"/>
      <c r="C15" s="5"/>
      <c r="D15" s="5"/>
      <c r="E15" s="6"/>
      <c r="F15" s="5" t="str">
        <f>IF(A15="","",IF(C15="",IFERROR(VLOOKUP(A15,Biblioteca!$A$4:$G$12,5,FALSE),""),C15))</f>
        <v/>
      </c>
      <c r="G15" s="5" t="str">
        <f>IF(A15="","",IF(D15="",IFERROR(VLOOKUP(A15,Biblioteca!$A$4:$G$12,4,FALSE),""),D15))</f>
        <v/>
      </c>
      <c r="H15" s="6" t="str">
        <f>IF(A15="","",IF(E15="",IFERROR(VLOOKUP(A15,Biblioteca!$A$4:$G$12,3,FALSE),""),E15))</f>
        <v/>
      </c>
      <c r="I15" s="6" t="str">
        <f t="shared" si="0"/>
        <v/>
      </c>
      <c r="J15" s="6" t="str">
        <f t="shared" si="1"/>
        <v/>
      </c>
      <c r="K15" s="6" t="str">
        <f t="shared" si="2"/>
        <v/>
      </c>
      <c r="L15" s="4" t="str">
        <f t="shared" si="3"/>
        <v/>
      </c>
      <c r="M15" s="3"/>
    </row>
    <row r="16" spans="1:13" x14ac:dyDescent="0.3">
      <c r="A16" s="3"/>
      <c r="B16" s="4"/>
      <c r="C16" s="5"/>
      <c r="D16" s="5"/>
      <c r="E16" s="6"/>
      <c r="F16" s="5" t="str">
        <f>IF(A16="","",IF(C16="",IFERROR(VLOOKUP(A16,Biblioteca!$A$4:$G$12,5,FALSE),""),C16))</f>
        <v/>
      </c>
      <c r="G16" s="5" t="str">
        <f>IF(A16="","",IF(D16="",IFERROR(VLOOKUP(A16,Biblioteca!$A$4:$G$12,4,FALSE),""),D16))</f>
        <v/>
      </c>
      <c r="H16" s="6" t="str">
        <f>IF(A16="","",IF(E16="",IFERROR(VLOOKUP(A16,Biblioteca!$A$4:$G$12,3,FALSE),""),E16))</f>
        <v/>
      </c>
      <c r="I16" s="6" t="str">
        <f t="shared" si="0"/>
        <v/>
      </c>
      <c r="J16" s="6" t="str">
        <f t="shared" si="1"/>
        <v/>
      </c>
      <c r="K16" s="6" t="str">
        <f t="shared" si="2"/>
        <v/>
      </c>
      <c r="L16" s="4" t="str">
        <f t="shared" si="3"/>
        <v/>
      </c>
      <c r="M16" s="3"/>
    </row>
    <row r="17" spans="1:13" x14ac:dyDescent="0.3">
      <c r="A17" s="3"/>
      <c r="B17" s="4"/>
      <c r="C17" s="5"/>
      <c r="D17" s="5"/>
      <c r="E17" s="6"/>
      <c r="F17" s="5" t="str">
        <f>IF(A17="","",IF(C17="",IFERROR(VLOOKUP(A17,Biblioteca!$A$4:$G$12,5,FALSE),""),C17))</f>
        <v/>
      </c>
      <c r="G17" s="5" t="str">
        <f>IF(A17="","",IF(D17="",IFERROR(VLOOKUP(A17,Biblioteca!$A$4:$G$12,4,FALSE),""),D17))</f>
        <v/>
      </c>
      <c r="H17" s="6" t="str">
        <f>IF(A17="","",IF(E17="",IFERROR(VLOOKUP(A17,Biblioteca!$A$4:$G$12,3,FALSE),""),E17))</f>
        <v/>
      </c>
      <c r="I17" s="6" t="str">
        <f t="shared" si="0"/>
        <v/>
      </c>
      <c r="J17" s="6" t="str">
        <f t="shared" si="1"/>
        <v/>
      </c>
      <c r="K17" s="6" t="str">
        <f t="shared" si="2"/>
        <v/>
      </c>
      <c r="L17" s="4" t="str">
        <f t="shared" si="3"/>
        <v/>
      </c>
      <c r="M17" s="3"/>
    </row>
    <row r="18" spans="1:13" x14ac:dyDescent="0.3">
      <c r="A18" s="3"/>
      <c r="B18" s="4"/>
      <c r="C18" s="5"/>
      <c r="D18" s="5"/>
      <c r="E18" s="6"/>
      <c r="F18" s="5" t="str">
        <f>IF(A18="","",IF(C18="",IFERROR(VLOOKUP(A18,Biblioteca!$A$4:$G$12,5,FALSE),""),C18))</f>
        <v/>
      </c>
      <c r="G18" s="5" t="str">
        <f>IF(A18="","",IF(D18="",IFERROR(VLOOKUP(A18,Biblioteca!$A$4:$G$12,4,FALSE),""),D18))</f>
        <v/>
      </c>
      <c r="H18" s="6" t="str">
        <f>IF(A18="","",IF(E18="",IFERROR(VLOOKUP(A18,Biblioteca!$A$4:$G$12,3,FALSE),""),E18))</f>
        <v/>
      </c>
      <c r="I18" s="6" t="str">
        <f t="shared" si="0"/>
        <v/>
      </c>
      <c r="J18" s="6" t="str">
        <f t="shared" si="1"/>
        <v/>
      </c>
      <c r="K18" s="6" t="str">
        <f t="shared" si="2"/>
        <v/>
      </c>
      <c r="L18" s="4" t="str">
        <f t="shared" si="3"/>
        <v/>
      </c>
      <c r="M18" s="3"/>
    </row>
    <row r="19" spans="1:13" x14ac:dyDescent="0.3">
      <c r="A19" s="3"/>
      <c r="B19" s="4"/>
      <c r="C19" s="5"/>
      <c r="D19" s="5"/>
      <c r="E19" s="6"/>
      <c r="F19" s="5" t="str">
        <f>IF(A19="","",IF(C19="",IFERROR(VLOOKUP(A19,Biblioteca!$A$4:$G$12,5,FALSE),""),C19))</f>
        <v/>
      </c>
      <c r="G19" s="5" t="str">
        <f>IF(A19="","",IF(D19="",IFERROR(VLOOKUP(A19,Biblioteca!$A$4:$G$12,4,FALSE),""),D19))</f>
        <v/>
      </c>
      <c r="H19" s="6" t="str">
        <f>IF(A19="","",IF(E19="",IFERROR(VLOOKUP(A19,Biblioteca!$A$4:$G$12,3,FALSE),""),E19))</f>
        <v/>
      </c>
      <c r="I19" s="6" t="str">
        <f t="shared" si="0"/>
        <v/>
      </c>
      <c r="J19" s="6" t="str">
        <f t="shared" si="1"/>
        <v/>
      </c>
      <c r="K19" s="6" t="str">
        <f t="shared" si="2"/>
        <v/>
      </c>
      <c r="L19" s="4" t="str">
        <f t="shared" si="3"/>
        <v/>
      </c>
      <c r="M19" s="3"/>
    </row>
    <row r="20" spans="1:13" x14ac:dyDescent="0.3">
      <c r="A20" s="3"/>
      <c r="B20" s="4"/>
      <c r="C20" s="5"/>
      <c r="D20" s="5"/>
      <c r="E20" s="6"/>
      <c r="F20" s="5" t="str">
        <f>IF(A20="","",IF(C20="",IFERROR(VLOOKUP(A20,Biblioteca!$A$4:$G$12,5,FALSE),""),C20))</f>
        <v/>
      </c>
      <c r="G20" s="5" t="str">
        <f>IF(A20="","",IF(D20="",IFERROR(VLOOKUP(A20,Biblioteca!$A$4:$G$12,4,FALSE),""),D20))</f>
        <v/>
      </c>
      <c r="H20" s="6" t="str">
        <f>IF(A20="","",IF(E20="",IFERROR(VLOOKUP(A20,Biblioteca!$A$4:$G$12,3,FALSE),""),E20))</f>
        <v/>
      </c>
      <c r="I20" s="6" t="str">
        <f t="shared" si="0"/>
        <v/>
      </c>
      <c r="J20" s="6" t="str">
        <f t="shared" si="1"/>
        <v/>
      </c>
      <c r="K20" s="6" t="str">
        <f t="shared" si="2"/>
        <v/>
      </c>
      <c r="L20" s="4" t="str">
        <f t="shared" si="3"/>
        <v/>
      </c>
      <c r="M20" s="3"/>
    </row>
    <row r="21" spans="1:13" x14ac:dyDescent="0.3">
      <c r="A21" s="3"/>
      <c r="B21" s="4"/>
      <c r="C21" s="5"/>
      <c r="D21" s="5"/>
      <c r="E21" s="6"/>
      <c r="F21" s="5" t="str">
        <f>IF(A21="","",IF(C21="",IFERROR(VLOOKUP(A21,Biblioteca!$A$4:$G$12,5,FALSE),""),C21))</f>
        <v/>
      </c>
      <c r="G21" s="5" t="str">
        <f>IF(A21="","",IF(D21="",IFERROR(VLOOKUP(A21,Biblioteca!$A$4:$G$12,4,FALSE),""),D21))</f>
        <v/>
      </c>
      <c r="H21" s="6" t="str">
        <f>IF(A21="","",IF(E21="",IFERROR(VLOOKUP(A21,Biblioteca!$A$4:$G$12,3,FALSE),""),E21))</f>
        <v/>
      </c>
      <c r="I21" s="6" t="str">
        <f t="shared" si="0"/>
        <v/>
      </c>
      <c r="J21" s="6" t="str">
        <f t="shared" si="1"/>
        <v/>
      </c>
      <c r="K21" s="6" t="str">
        <f t="shared" si="2"/>
        <v/>
      </c>
      <c r="L21" s="4" t="str">
        <f t="shared" si="3"/>
        <v/>
      </c>
      <c r="M21" s="3"/>
    </row>
    <row r="22" spans="1:13" x14ac:dyDescent="0.3">
      <c r="A22" s="3"/>
      <c r="B22" s="4"/>
      <c r="C22" s="5"/>
      <c r="D22" s="5"/>
      <c r="E22" s="6"/>
      <c r="F22" s="5" t="str">
        <f>IF(A22="","",IF(C22="",IFERROR(VLOOKUP(A22,Biblioteca!$A$4:$G$12,5,FALSE),""),C22))</f>
        <v/>
      </c>
      <c r="G22" s="5" t="str">
        <f>IF(A22="","",IF(D22="",IFERROR(VLOOKUP(A22,Biblioteca!$A$4:$G$12,4,FALSE),""),D22))</f>
        <v/>
      </c>
      <c r="H22" s="6" t="str">
        <f>IF(A22="","",IF(E22="",IFERROR(VLOOKUP(A22,Biblioteca!$A$4:$G$12,3,FALSE),""),E22))</f>
        <v/>
      </c>
      <c r="I22" s="6" t="str">
        <f t="shared" si="0"/>
        <v/>
      </c>
      <c r="J22" s="6" t="str">
        <f t="shared" si="1"/>
        <v/>
      </c>
      <c r="K22" s="6" t="str">
        <f t="shared" si="2"/>
        <v/>
      </c>
      <c r="L22" s="4" t="str">
        <f t="shared" si="3"/>
        <v/>
      </c>
      <c r="M22" s="3"/>
    </row>
    <row r="23" spans="1:13" x14ac:dyDescent="0.3">
      <c r="A23" s="3"/>
      <c r="B23" s="4"/>
      <c r="C23" s="5"/>
      <c r="D23" s="5"/>
      <c r="E23" s="6"/>
      <c r="F23" s="5" t="str">
        <f>IF(A23="","",IF(C23="",IFERROR(VLOOKUP(A23,Biblioteca!$A$4:$G$12,5,FALSE),""),C23))</f>
        <v/>
      </c>
      <c r="G23" s="5" t="str">
        <f>IF(A23="","",IF(D23="",IFERROR(VLOOKUP(A23,Biblioteca!$A$4:$G$12,4,FALSE),""),D23))</f>
        <v/>
      </c>
      <c r="H23" s="6" t="str">
        <f>IF(A23="","",IF(E23="",IFERROR(VLOOKUP(A23,Biblioteca!$A$4:$G$12,3,FALSE),""),E23))</f>
        <v/>
      </c>
      <c r="I23" s="6" t="str">
        <f t="shared" si="0"/>
        <v/>
      </c>
      <c r="J23" s="6" t="str">
        <f t="shared" si="1"/>
        <v/>
      </c>
      <c r="K23" s="6" t="str">
        <f t="shared" si="2"/>
        <v/>
      </c>
      <c r="L23" s="4" t="str">
        <f t="shared" si="3"/>
        <v/>
      </c>
      <c r="M23" s="3"/>
    </row>
    <row r="24" spans="1:13" x14ac:dyDescent="0.3">
      <c r="A24" s="3"/>
      <c r="B24" s="4"/>
      <c r="C24" s="5"/>
      <c r="D24" s="5"/>
      <c r="E24" s="6"/>
      <c r="F24" s="5" t="str">
        <f>IF(A24="","",IF(C24="",IFERROR(VLOOKUP(A24,Biblioteca!$A$4:$G$12,5,FALSE),""),C24))</f>
        <v/>
      </c>
      <c r="G24" s="5" t="str">
        <f>IF(A24="","",IF(D24="",IFERROR(VLOOKUP(A24,Biblioteca!$A$4:$G$12,4,FALSE),""),D24))</f>
        <v/>
      </c>
      <c r="H24" s="6" t="str">
        <f>IF(A24="","",IF(E24="",IFERROR(VLOOKUP(A24,Biblioteca!$A$4:$G$12,3,FALSE),""),E24))</f>
        <v/>
      </c>
      <c r="I24" s="6" t="str">
        <f t="shared" si="0"/>
        <v/>
      </c>
      <c r="J24" s="6" t="str">
        <f t="shared" si="1"/>
        <v/>
      </c>
      <c r="K24" s="6" t="str">
        <f t="shared" si="2"/>
        <v/>
      </c>
      <c r="L24" s="4" t="str">
        <f t="shared" si="3"/>
        <v/>
      </c>
      <c r="M24" s="3"/>
    </row>
    <row r="25" spans="1:13" x14ac:dyDescent="0.3">
      <c r="A25" s="3"/>
      <c r="B25" s="4"/>
      <c r="C25" s="5"/>
      <c r="D25" s="5"/>
      <c r="E25" s="6"/>
      <c r="F25" s="5" t="str">
        <f>IF(A25="","",IF(C25="",IFERROR(VLOOKUP(A25,Biblioteca!$A$4:$G$12,5,FALSE),""),C25))</f>
        <v/>
      </c>
      <c r="G25" s="5" t="str">
        <f>IF(A25="","",IF(D25="",IFERROR(VLOOKUP(A25,Biblioteca!$A$4:$G$12,4,FALSE),""),D25))</f>
        <v/>
      </c>
      <c r="H25" s="6" t="str">
        <f>IF(A25="","",IF(E25="",IFERROR(VLOOKUP(A25,Biblioteca!$A$4:$G$12,3,FALSE),""),E25))</f>
        <v/>
      </c>
      <c r="I25" s="6" t="str">
        <f t="shared" si="0"/>
        <v/>
      </c>
      <c r="J25" s="6" t="str">
        <f t="shared" si="1"/>
        <v/>
      </c>
      <c r="K25" s="6" t="str">
        <f t="shared" si="2"/>
        <v/>
      </c>
      <c r="L25" s="4" t="str">
        <f t="shared" si="3"/>
        <v/>
      </c>
      <c r="M25" s="3"/>
    </row>
    <row r="27" spans="1:13" x14ac:dyDescent="0.3">
      <c r="K27" s="7" t="s">
        <v>23</v>
      </c>
      <c r="L27" s="14">
        <f>SUM(L6:L25)</f>
        <v>65.656184027014518</v>
      </c>
    </row>
  </sheetData>
  <mergeCells count="2">
    <mergeCell ref="A3:M3"/>
    <mergeCell ref="A1:M1"/>
  </mergeCells>
  <dataValidations count="1">
    <dataValidation type="list" allowBlank="1" sqref="E6:E25" xr:uid="{00000000-0002-0000-0000-000001000000}">
      <formula1>"1.0,0.8,0.7,0.4,0.15"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="Selecione um implemento da lista." prompt="Escolha o implemento; os valores de referência serão preenchidos automaticamente." xr:uid="{00000000-0002-0000-0000-000000000000}">
          <x14:formula1>
            <xm:f>Biblioteca!$A$4:$A$12</xm:f>
          </x14:formula1>
          <xm:sqref>A6:A25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28191-B429-4C3C-B243-E6321C783049}">
  <dimension ref="C6:F19"/>
  <sheetViews>
    <sheetView showGridLines="0" tabSelected="1" topLeftCell="A9" workbookViewId="0">
      <selection activeCell="F10" sqref="F10"/>
    </sheetView>
  </sheetViews>
  <sheetFormatPr defaultRowHeight="14.4" x14ac:dyDescent="0.3"/>
  <cols>
    <col min="3" max="3" width="17.33203125" style="16" bestFit="1" customWidth="1"/>
    <col min="4" max="4" width="13.77734375" style="16" customWidth="1"/>
    <col min="5" max="5" width="20.6640625" customWidth="1"/>
    <col min="6" max="6" width="60.77734375" customWidth="1"/>
  </cols>
  <sheetData>
    <row r="6" spans="3:6" x14ac:dyDescent="0.3">
      <c r="C6" s="16" t="str">
        <f>Calculadora!K27</f>
        <v>STIR total (soma) →</v>
      </c>
    </row>
    <row r="8" spans="3:6" x14ac:dyDescent="0.3">
      <c r="C8" s="15" t="s">
        <v>65</v>
      </c>
      <c r="D8" s="15" t="s">
        <v>66</v>
      </c>
      <c r="E8" s="15" t="s">
        <v>67</v>
      </c>
    </row>
    <row r="9" spans="3:6" ht="113.4" customHeight="1" x14ac:dyDescent="0.3">
      <c r="C9" s="15" t="s">
        <v>68</v>
      </c>
      <c r="D9" s="17" t="s">
        <v>69</v>
      </c>
      <c r="E9" s="1" t="s">
        <v>70</v>
      </c>
      <c r="F9" s="21" t="s">
        <v>79</v>
      </c>
    </row>
    <row r="10" spans="3:6" ht="113.4" customHeight="1" x14ac:dyDescent="0.3">
      <c r="C10" s="15" t="s">
        <v>71</v>
      </c>
      <c r="D10" s="18" t="s">
        <v>72</v>
      </c>
      <c r="E10" s="1" t="s">
        <v>73</v>
      </c>
      <c r="F10" s="22" t="s">
        <v>78</v>
      </c>
    </row>
    <row r="11" spans="3:6" ht="113.4" customHeight="1" x14ac:dyDescent="0.3">
      <c r="C11" s="15" t="s">
        <v>74</v>
      </c>
      <c r="D11" s="19" t="s">
        <v>75</v>
      </c>
      <c r="E11" s="1" t="s">
        <v>76</v>
      </c>
      <c r="F11" s="22" t="s">
        <v>80</v>
      </c>
    </row>
    <row r="12" spans="3:6" ht="54.6" customHeight="1" x14ac:dyDescent="0.3">
      <c r="C12" s="23">
        <f>Calculadora!L27</f>
        <v>65.656184027014518</v>
      </c>
      <c r="D12" s="24" t="s">
        <v>77</v>
      </c>
      <c r="F12" s="20"/>
    </row>
    <row r="13" spans="3:6" x14ac:dyDescent="0.3">
      <c r="F13" s="20"/>
    </row>
    <row r="14" spans="3:6" x14ac:dyDescent="0.3">
      <c r="F14" s="20"/>
    </row>
    <row r="15" spans="3:6" x14ac:dyDescent="0.3">
      <c r="F15" s="20"/>
    </row>
    <row r="16" spans="3:6" x14ac:dyDescent="0.3">
      <c r="F16" s="20"/>
    </row>
    <row r="17" spans="6:6" x14ac:dyDescent="0.3">
      <c r="F17" s="20"/>
    </row>
    <row r="18" spans="6:6" x14ac:dyDescent="0.3">
      <c r="F18" s="20"/>
    </row>
    <row r="19" spans="6:6" x14ac:dyDescent="0.3">
      <c r="F19" s="2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pane ySplit="3" topLeftCell="A4" activePane="bottomLeft" state="frozen"/>
      <selection pane="bottomLeft" activeCell="C13" sqref="C13"/>
    </sheetView>
  </sheetViews>
  <sheetFormatPr defaultRowHeight="14.4" x14ac:dyDescent="0.3"/>
  <cols>
    <col min="1" max="1" width="42" customWidth="1"/>
    <col min="2" max="4" width="18" customWidth="1"/>
    <col min="5" max="5" width="20" customWidth="1"/>
    <col min="6" max="6" width="35" customWidth="1"/>
    <col min="7" max="7" width="20" customWidth="1"/>
  </cols>
  <sheetData>
    <row r="1" spans="1:7" ht="18" x14ac:dyDescent="0.35">
      <c r="A1" s="28" t="s">
        <v>24</v>
      </c>
      <c r="B1" s="26"/>
      <c r="C1" s="26"/>
      <c r="D1" s="26"/>
      <c r="E1" s="26"/>
      <c r="F1" s="26"/>
      <c r="G1" s="26"/>
    </row>
    <row r="3" spans="1:7" ht="28.8" x14ac:dyDescent="0.3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</row>
    <row r="4" spans="1:7" ht="28.8" x14ac:dyDescent="0.3">
      <c r="A4" s="3" t="s">
        <v>15</v>
      </c>
      <c r="B4" s="3" t="s">
        <v>32</v>
      </c>
      <c r="C4" s="8">
        <v>1</v>
      </c>
      <c r="D4" s="8">
        <v>100</v>
      </c>
      <c r="E4" s="8">
        <v>25</v>
      </c>
      <c r="F4" s="3" t="s">
        <v>33</v>
      </c>
      <c r="G4" s="3" t="s">
        <v>34</v>
      </c>
    </row>
    <row r="5" spans="1:7" ht="28.8" x14ac:dyDescent="0.3">
      <c r="A5" s="3" t="s">
        <v>35</v>
      </c>
      <c r="B5" s="3" t="s">
        <v>32</v>
      </c>
      <c r="C5" s="8">
        <v>0.8</v>
      </c>
      <c r="D5" s="8">
        <v>100</v>
      </c>
      <c r="E5" s="8">
        <v>20</v>
      </c>
      <c r="F5" s="3" t="s">
        <v>36</v>
      </c>
      <c r="G5" s="3" t="s">
        <v>37</v>
      </c>
    </row>
    <row r="6" spans="1:7" ht="28.8" x14ac:dyDescent="0.3">
      <c r="A6" s="3" t="s">
        <v>17</v>
      </c>
      <c r="B6" s="3" t="s">
        <v>38</v>
      </c>
      <c r="C6" s="8">
        <v>0.7</v>
      </c>
      <c r="D6" s="8">
        <v>100</v>
      </c>
      <c r="E6" s="8">
        <v>12</v>
      </c>
      <c r="F6" s="3" t="s">
        <v>39</v>
      </c>
      <c r="G6" s="3" t="s">
        <v>40</v>
      </c>
    </row>
    <row r="7" spans="1:7" ht="28.8" x14ac:dyDescent="0.3">
      <c r="A7" s="3" t="s">
        <v>41</v>
      </c>
      <c r="B7" s="3" t="s">
        <v>38</v>
      </c>
      <c r="C7" s="8">
        <v>0.7</v>
      </c>
      <c r="D7" s="8">
        <v>60</v>
      </c>
      <c r="E7" s="8">
        <v>8</v>
      </c>
      <c r="F7" s="3" t="s">
        <v>42</v>
      </c>
      <c r="G7" s="3" t="s">
        <v>40</v>
      </c>
    </row>
    <row r="8" spans="1:7" ht="28.8" x14ac:dyDescent="0.3">
      <c r="A8" s="3" t="s">
        <v>43</v>
      </c>
      <c r="B8" s="3" t="s">
        <v>44</v>
      </c>
      <c r="C8" s="8">
        <v>0.4</v>
      </c>
      <c r="D8" s="8">
        <v>60</v>
      </c>
      <c r="E8" s="8">
        <v>25</v>
      </c>
      <c r="F8" s="3" t="s">
        <v>45</v>
      </c>
      <c r="G8" s="3" t="s">
        <v>46</v>
      </c>
    </row>
    <row r="9" spans="1:7" ht="28.8" x14ac:dyDescent="0.3">
      <c r="A9" s="3" t="s">
        <v>19</v>
      </c>
      <c r="B9" s="3" t="s">
        <v>44</v>
      </c>
      <c r="C9" s="8">
        <v>0.4</v>
      </c>
      <c r="D9" s="8">
        <v>30</v>
      </c>
      <c r="E9" s="8">
        <v>35</v>
      </c>
      <c r="F9" s="3" t="s">
        <v>47</v>
      </c>
      <c r="G9" s="3" t="s">
        <v>46</v>
      </c>
    </row>
    <row r="10" spans="1:7" ht="28.8" x14ac:dyDescent="0.3">
      <c r="A10" s="3" t="s">
        <v>21</v>
      </c>
      <c r="B10" s="3" t="s">
        <v>48</v>
      </c>
      <c r="C10" s="8">
        <v>0.15</v>
      </c>
      <c r="D10" s="8">
        <v>15</v>
      </c>
      <c r="E10" s="8">
        <v>5</v>
      </c>
      <c r="F10" s="3" t="s">
        <v>49</v>
      </c>
      <c r="G10" s="3" t="s">
        <v>50</v>
      </c>
    </row>
    <row r="11" spans="1:7" ht="28.8" x14ac:dyDescent="0.3">
      <c r="A11" s="3" t="s">
        <v>51</v>
      </c>
      <c r="B11" s="3" t="s">
        <v>52</v>
      </c>
      <c r="C11" s="8">
        <v>0.15</v>
      </c>
      <c r="D11" s="8">
        <v>70</v>
      </c>
      <c r="E11" s="8">
        <v>2</v>
      </c>
      <c r="F11" s="3" t="s">
        <v>53</v>
      </c>
      <c r="G11" s="3" t="s">
        <v>50</v>
      </c>
    </row>
    <row r="12" spans="1:7" ht="28.8" x14ac:dyDescent="0.3">
      <c r="A12" s="3" t="s">
        <v>54</v>
      </c>
      <c r="B12" s="3" t="s">
        <v>55</v>
      </c>
      <c r="C12" s="8">
        <v>0.7</v>
      </c>
      <c r="D12" s="8">
        <v>100</v>
      </c>
      <c r="E12" s="8">
        <v>10</v>
      </c>
      <c r="F12" s="3" t="s">
        <v>56</v>
      </c>
      <c r="G12" s="3" t="s">
        <v>40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selection sqref="A1:H1"/>
    </sheetView>
  </sheetViews>
  <sheetFormatPr defaultRowHeight="14.4" x14ac:dyDescent="0.3"/>
  <cols>
    <col min="1" max="1" width="28" customWidth="1"/>
    <col min="2" max="8" width="18" customWidth="1"/>
  </cols>
  <sheetData>
    <row r="1" spans="1:8" ht="18" x14ac:dyDescent="0.35">
      <c r="A1" s="28" t="s">
        <v>57</v>
      </c>
      <c r="B1" s="26"/>
      <c r="C1" s="26"/>
      <c r="D1" s="26"/>
      <c r="E1" s="26"/>
      <c r="F1" s="26"/>
      <c r="G1" s="26"/>
      <c r="H1" s="26"/>
    </row>
    <row r="3" spans="1:8" x14ac:dyDescent="0.3">
      <c r="A3" s="29" t="s">
        <v>58</v>
      </c>
      <c r="B3" s="26"/>
      <c r="C3" s="26"/>
      <c r="D3" s="26"/>
      <c r="E3" s="26"/>
      <c r="F3" s="26"/>
      <c r="G3" s="26"/>
      <c r="H3" s="26"/>
    </row>
    <row r="4" spans="1:8" x14ac:dyDescent="0.3">
      <c r="A4" s="29"/>
      <c r="B4" s="26"/>
      <c r="C4" s="26"/>
      <c r="D4" s="26"/>
      <c r="E4" s="26"/>
      <c r="F4" s="26"/>
      <c r="G4" s="26"/>
      <c r="H4" s="26"/>
    </row>
    <row r="5" spans="1:8" x14ac:dyDescent="0.3">
      <c r="A5" s="29" t="s">
        <v>59</v>
      </c>
      <c r="B5" s="26"/>
      <c r="C5" s="26"/>
      <c r="D5" s="26"/>
      <c r="E5" s="26"/>
      <c r="F5" s="26"/>
      <c r="G5" s="26"/>
      <c r="H5" s="26"/>
    </row>
    <row r="6" spans="1:8" x14ac:dyDescent="0.3">
      <c r="A6" s="29" t="s">
        <v>60</v>
      </c>
      <c r="B6" s="26"/>
      <c r="C6" s="26"/>
      <c r="D6" s="26"/>
      <c r="E6" s="26"/>
      <c r="F6" s="26"/>
      <c r="G6" s="26"/>
      <c r="H6" s="26"/>
    </row>
    <row r="7" spans="1:8" x14ac:dyDescent="0.3">
      <c r="A7" s="29"/>
      <c r="B7" s="26"/>
      <c r="C7" s="26"/>
      <c r="D7" s="26"/>
      <c r="E7" s="26"/>
      <c r="F7" s="26"/>
      <c r="G7" s="26"/>
      <c r="H7" s="26"/>
    </row>
    <row r="8" spans="1:8" x14ac:dyDescent="0.3">
      <c r="A8" s="29" t="s">
        <v>61</v>
      </c>
      <c r="B8" s="26"/>
      <c r="C8" s="26"/>
      <c r="D8" s="26"/>
      <c r="E8" s="26"/>
      <c r="F8" s="26"/>
      <c r="G8" s="26"/>
      <c r="H8" s="26"/>
    </row>
    <row r="9" spans="1:8" x14ac:dyDescent="0.3">
      <c r="A9" s="29"/>
      <c r="B9" s="26"/>
      <c r="C9" s="26"/>
      <c r="D9" s="26"/>
      <c r="E9" s="26"/>
      <c r="F9" s="26"/>
      <c r="G9" s="26"/>
      <c r="H9" s="26"/>
    </row>
    <row r="10" spans="1:8" x14ac:dyDescent="0.3">
      <c r="A10" s="29" t="s">
        <v>62</v>
      </c>
      <c r="B10" s="26"/>
      <c r="C10" s="26"/>
      <c r="D10" s="26"/>
      <c r="E10" s="26"/>
      <c r="F10" s="26"/>
      <c r="G10" s="26"/>
      <c r="H10" s="26"/>
    </row>
    <row r="11" spans="1:8" x14ac:dyDescent="0.3">
      <c r="A11" s="29"/>
      <c r="B11" s="26"/>
      <c r="C11" s="26"/>
      <c r="D11" s="26"/>
      <c r="E11" s="26"/>
      <c r="F11" s="26"/>
      <c r="G11" s="26"/>
      <c r="H11" s="26"/>
    </row>
    <row r="12" spans="1:8" x14ac:dyDescent="0.3">
      <c r="A12" s="29" t="s">
        <v>63</v>
      </c>
      <c r="B12" s="26"/>
      <c r="C12" s="26"/>
      <c r="D12" s="26"/>
      <c r="E12" s="26"/>
      <c r="F12" s="26"/>
      <c r="G12" s="26"/>
      <c r="H12" s="26"/>
    </row>
  </sheetData>
  <mergeCells count="11">
    <mergeCell ref="A1:H1"/>
    <mergeCell ref="A4:H4"/>
    <mergeCell ref="A9:H9"/>
    <mergeCell ref="A3:H3"/>
    <mergeCell ref="A12:H12"/>
    <mergeCell ref="A7:H7"/>
    <mergeCell ref="A10:H10"/>
    <mergeCell ref="A11:H11"/>
    <mergeCell ref="A5:H5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Calculadora</vt:lpstr>
      <vt:lpstr>Resultado</vt:lpstr>
      <vt:lpstr>Biblioteca</vt:lpstr>
      <vt:lpstr>Ajuda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Roberto da Rocha</cp:lastModifiedBy>
  <dcterms:created xsi:type="dcterms:W3CDTF">2026-01-18T15:15:07Z</dcterms:created>
  <dcterms:modified xsi:type="dcterms:W3CDTF">2026-01-19T12:32:09Z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726d3b-6796-48f5-a53d-57abbe9f0891_Enabled">
    <vt:lpwstr>true</vt:lpwstr>
  </property>
  <property fmtid="{D5CDD505-2E9C-101B-9397-08002B2CF9AE}" pid="3" name="MSIP_Label_d2726d3b-6796-48f5-a53d-57abbe9f0891_SetDate">
    <vt:lpwstr>2026-01-18T15:55:30Z</vt:lpwstr>
  </property>
  <property fmtid="{D5CDD505-2E9C-101B-9397-08002B2CF9AE}" pid="4" name="MSIP_Label_d2726d3b-6796-48f5-a53d-57abbe9f0891_Method">
    <vt:lpwstr>Standard</vt:lpwstr>
  </property>
  <property fmtid="{D5CDD505-2E9C-101B-9397-08002B2CF9AE}" pid="5" name="MSIP_Label_d2726d3b-6796-48f5-a53d-57abbe9f0891_Name">
    <vt:lpwstr>Unclassified</vt:lpwstr>
  </property>
  <property fmtid="{D5CDD505-2E9C-101B-9397-08002B2CF9AE}" pid="6" name="MSIP_Label_d2726d3b-6796-48f5-a53d-57abbe9f0891_SiteId">
    <vt:lpwstr>4fc2f3aa-31c4-4dcb-b719-c6c16393e9d3</vt:lpwstr>
  </property>
  <property fmtid="{D5CDD505-2E9C-101B-9397-08002B2CF9AE}" pid="7" name="MSIP_Label_d2726d3b-6796-48f5-a53d-57abbe9f0891_ActionId">
    <vt:lpwstr>e9debc4c-20f1-4d9d-a7b9-018348c2311b</vt:lpwstr>
  </property>
  <property fmtid="{D5CDD505-2E9C-101B-9397-08002B2CF9AE}" pid="8" name="MSIP_Label_d2726d3b-6796-48f5-a53d-57abbe9f0891_ContentBits">
    <vt:lpwstr>0</vt:lpwstr>
  </property>
  <property fmtid="{D5CDD505-2E9C-101B-9397-08002B2CF9AE}" pid="9" name="MSIP_Label_d2726d3b-6796-48f5-a53d-57abbe9f0891_Tag">
    <vt:lpwstr>10, 3, 0, 1</vt:lpwstr>
  </property>
</Properties>
</file>